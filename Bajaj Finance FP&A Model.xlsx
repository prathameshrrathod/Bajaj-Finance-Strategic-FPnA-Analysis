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thamesh\Desktop\FP&amp;A Project\"/>
    </mc:Choice>
  </mc:AlternateContent>
  <xr:revisionPtr revIDLastSave="0" documentId="13_ncr:1_{D415D220-6F6E-4E8B-9E7B-3AC2475A9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Q4_FY26_Deep_Dive" sheetId="14" r:id="rId2"/>
    <sheet name="Segment_Analysis" sheetId="6" r:id="rId3"/>
    <sheet name="Historical_Trends" sheetId="7" r:id="rId4"/>
    <sheet name="Variance_Analysis" sheetId="8" r:id="rId5"/>
    <sheet name="Forecast_Model" sheetId="9" r:id="rId6"/>
    <sheet name="Scenario_Engine" sheetId="10" r:id="rId7"/>
    <sheet name="Management_Insights" sheetId="11" r:id="rId8"/>
    <sheet name="Dashboard_Data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2" l="1"/>
  <c r="F16" i="12"/>
  <c r="F15" i="12"/>
  <c r="F14" i="12"/>
  <c r="E17" i="12"/>
  <c r="E16" i="12"/>
  <c r="E15" i="12"/>
  <c r="E14" i="12"/>
  <c r="D17" i="12"/>
  <c r="D16" i="12"/>
  <c r="D15" i="12"/>
  <c r="D14" i="12"/>
  <c r="C17" i="12"/>
  <c r="C16" i="12"/>
  <c r="C15" i="12"/>
  <c r="C14" i="12"/>
  <c r="C10" i="12"/>
  <c r="C9" i="12"/>
  <c r="C8" i="12"/>
  <c r="C7" i="12"/>
  <c r="C6" i="12"/>
  <c r="C5" i="12"/>
  <c r="C4" i="12"/>
  <c r="E10" i="8"/>
  <c r="E11" i="8"/>
  <c r="E12" i="8"/>
  <c r="E9" i="8"/>
  <c r="F4" i="8"/>
  <c r="F5" i="8"/>
  <c r="F6" i="8"/>
  <c r="F7" i="8"/>
  <c r="F8" i="8"/>
  <c r="F9" i="8"/>
  <c r="F10" i="8"/>
  <c r="F11" i="8"/>
  <c r="F12" i="8"/>
  <c r="E4" i="8"/>
  <c r="E5" i="8"/>
  <c r="E6" i="8"/>
  <c r="E7" i="8"/>
  <c r="E8" i="8"/>
  <c r="F3" i="8"/>
  <c r="E3" i="8"/>
  <c r="E4" i="9"/>
  <c r="C29" i="14"/>
  <c r="C28" i="14"/>
  <c r="C25" i="14"/>
  <c r="C18" i="14"/>
  <c r="E17" i="10"/>
  <c r="C17" i="10"/>
  <c r="D8" i="9"/>
  <c r="F4" i="9"/>
  <c r="G4" i="9" s="1"/>
  <c r="H4" i="9" s="1"/>
  <c r="I4" i="9" s="1"/>
  <c r="F5" i="9"/>
  <c r="G5" i="9" s="1"/>
  <c r="C21" i="12" s="1"/>
  <c r="F6" i="9"/>
  <c r="F8" i="9" s="1"/>
  <c r="F7" i="9"/>
  <c r="F9" i="9"/>
  <c r="F10" i="9"/>
  <c r="F12" i="9"/>
  <c r="F13" i="9"/>
  <c r="F14" i="9"/>
  <c r="F15" i="9"/>
  <c r="F16" i="9"/>
  <c r="F19" i="9"/>
  <c r="F20" i="9"/>
  <c r="F21" i="9"/>
  <c r="F22" i="9"/>
  <c r="F3" i="9"/>
  <c r="G3" i="9" s="1"/>
  <c r="H3" i="9" s="1"/>
  <c r="I3" i="9" s="1"/>
  <c r="E5" i="9"/>
  <c r="E6" i="9"/>
  <c r="E8" i="9" s="1"/>
  <c r="E7" i="9"/>
  <c r="E9" i="9"/>
  <c r="E11" i="9" s="1"/>
  <c r="E10" i="9"/>
  <c r="E12" i="9"/>
  <c r="E13" i="9"/>
  <c r="E14" i="9"/>
  <c r="E15" i="9"/>
  <c r="E16" i="9"/>
  <c r="E17" i="9"/>
  <c r="E18" i="9"/>
  <c r="E19" i="9"/>
  <c r="E20" i="9"/>
  <c r="E21" i="9"/>
  <c r="E22" i="9"/>
  <c r="E3" i="9"/>
  <c r="D4" i="9"/>
  <c r="D5" i="9"/>
  <c r="D6" i="9"/>
  <c r="D7" i="9"/>
  <c r="D9" i="9"/>
  <c r="D10" i="9"/>
  <c r="D12" i="9"/>
  <c r="D13" i="9"/>
  <c r="D14" i="9"/>
  <c r="D15" i="9"/>
  <c r="D16" i="9"/>
  <c r="D17" i="9"/>
  <c r="D18" i="9"/>
  <c r="D19" i="9"/>
  <c r="D20" i="9"/>
  <c r="D21" i="9"/>
  <c r="D22" i="9"/>
  <c r="D3" i="9"/>
  <c r="C4" i="9"/>
  <c r="C5" i="9"/>
  <c r="C6" i="9"/>
  <c r="C7" i="9"/>
  <c r="C9" i="9"/>
  <c r="C10" i="9"/>
  <c r="C12" i="9"/>
  <c r="C13" i="9"/>
  <c r="C14" i="9"/>
  <c r="C15" i="9"/>
  <c r="C16" i="9"/>
  <c r="C17" i="9"/>
  <c r="C18" i="9"/>
  <c r="C19" i="9"/>
  <c r="C20" i="9"/>
  <c r="C21" i="9"/>
  <c r="C22" i="9"/>
  <c r="C3" i="9"/>
  <c r="C17" i="6"/>
  <c r="D10" i="6" s="1"/>
  <c r="D17" i="10" l="1"/>
  <c r="G12" i="9"/>
  <c r="C11" i="9"/>
  <c r="D11" i="9"/>
  <c r="D13" i="6"/>
  <c r="D12" i="6"/>
  <c r="D11" i="6"/>
  <c r="F11" i="9"/>
  <c r="D14" i="6"/>
  <c r="D9" i="6"/>
  <c r="D4" i="6"/>
  <c r="D3" i="6"/>
  <c r="D8" i="6"/>
  <c r="D16" i="6"/>
  <c r="D7" i="6"/>
  <c r="D5" i="6"/>
  <c r="D15" i="6"/>
  <c r="D6" i="6"/>
  <c r="C8" i="9"/>
  <c r="G7" i="9"/>
  <c r="G6" i="9"/>
  <c r="G8" i="9" s="1"/>
  <c r="G9" i="9" s="1"/>
  <c r="H5" i="9"/>
  <c r="H12" i="9" l="1"/>
  <c r="C22" i="12"/>
  <c r="D17" i="6"/>
  <c r="G10" i="9"/>
  <c r="G15" i="9" s="1"/>
  <c r="G11" i="9"/>
  <c r="G16" i="9"/>
  <c r="H7" i="9"/>
  <c r="H6" i="9"/>
  <c r="I5" i="9"/>
  <c r="I12" i="9" l="1"/>
  <c r="C23" i="12"/>
  <c r="G13" i="9"/>
  <c r="H8" i="9"/>
  <c r="H9" i="9" s="1"/>
  <c r="I7" i="9"/>
  <c r="I6" i="9"/>
  <c r="G14" i="9" l="1"/>
  <c r="D21" i="12" s="1"/>
  <c r="D16" i="10"/>
  <c r="I8" i="9"/>
  <c r="I9" i="9" s="1"/>
  <c r="I10" i="9"/>
  <c r="I15" i="9" s="1"/>
  <c r="I16" i="9"/>
  <c r="H10" i="9"/>
  <c r="H15" i="9" s="1"/>
  <c r="H11" i="9"/>
  <c r="H16" i="9"/>
  <c r="I11" i="9" l="1"/>
  <c r="C16" i="10"/>
  <c r="E16" i="10"/>
  <c r="G18" i="9"/>
  <c r="D15" i="10" s="1"/>
  <c r="D13" i="10"/>
  <c r="G17" i="9"/>
  <c r="D14" i="10" s="1"/>
  <c r="I13" i="9"/>
  <c r="I14" i="9" s="1"/>
  <c r="H13" i="9"/>
  <c r="H14" i="9" s="1"/>
  <c r="D22" i="12" s="1"/>
  <c r="I18" i="9" l="1"/>
  <c r="D23" i="12"/>
  <c r="E13" i="10"/>
  <c r="C13" i="10"/>
  <c r="C15" i="10"/>
  <c r="E15" i="10"/>
  <c r="E14" i="10"/>
  <c r="C14" i="10"/>
  <c r="I17" i="9"/>
  <c r="H18" i="9"/>
  <c r="H17" i="9"/>
</calcChain>
</file>

<file path=xl/sharedStrings.xml><?xml version="1.0" encoding="utf-8"?>
<sst xmlns="http://schemas.openxmlformats.org/spreadsheetml/2006/main" count="355" uniqueCount="259">
  <si>
    <t>Quarter</t>
  </si>
  <si>
    <t>Q4 FY26</t>
  </si>
  <si>
    <t>AUM (₹ Cr)</t>
  </si>
  <si>
    <t>Disbursements (MM)</t>
  </si>
  <si>
    <t>NII (₹ Cr)</t>
  </si>
  <si>
    <t>PAT (₹ Cr)</t>
  </si>
  <si>
    <t>ROA (%)</t>
  </si>
  <si>
    <t>ROE (%)</t>
  </si>
  <si>
    <t>Customers (MM)</t>
  </si>
  <si>
    <t>Branches (Count)</t>
  </si>
  <si>
    <t>Credit Cost %</t>
  </si>
  <si>
    <t>Interest Income (₹ Cr)</t>
  </si>
  <si>
    <t>Interest Expense (₹ Cr)</t>
  </si>
  <si>
    <t>NTI (₹ Cr)</t>
  </si>
  <si>
    <t>Operating Expenses (₹ Cr)</t>
  </si>
  <si>
    <t>Loan Losses &amp; Provisions (₹ Cr)</t>
  </si>
  <si>
    <t>PBT (₹ Cr)</t>
  </si>
  <si>
    <t>Cost-to-Income (%)</t>
  </si>
  <si>
    <t>Credit Cost (%)</t>
  </si>
  <si>
    <t>PPOP (₹ Cr)</t>
  </si>
  <si>
    <t>Share of Profit of Associates (₹ Cr)</t>
  </si>
  <si>
    <t>Category</t>
  </si>
  <si>
    <t>Observation</t>
  </si>
  <si>
    <t>Business Impact</t>
  </si>
  <si>
    <t>Management Implication</t>
  </si>
  <si>
    <t>Growth</t>
  </si>
  <si>
    <t>Profitability</t>
  </si>
  <si>
    <t>Net interest income growth remained resilient despite funding cost pressure.</t>
  </si>
  <si>
    <t>Treasury and liability management efficiency will remain critical to protecting spreads and margins.</t>
  </si>
  <si>
    <t>Operating Efficiency</t>
  </si>
  <si>
    <t>Operating expenses grew alongside continued branch expansion and scaling activities.</t>
  </si>
  <si>
    <t>Cost-to-income ratio remained stable at 33.2%, indicating controlled operating leverage.</t>
  </si>
  <si>
    <t>Management appears to be balancing expansion with disciplined expense control.</t>
  </si>
  <si>
    <t>Credit Risk</t>
  </si>
  <si>
    <t>Shareholder Returns</t>
  </si>
  <si>
    <t>Credit cost remained controlled at 1.75% despite continued growth in lending activity.</t>
  </si>
  <si>
    <t>Stable asset quality supported profitability and return ratios.</t>
  </si>
  <si>
    <t>Credit underwriting discipline remains critical as unsecured lending exposure expands.</t>
  </si>
  <si>
    <t>ROE improved to 20.03%, reflecting strong profitability generation and efficient capital deployment.</t>
  </si>
  <si>
    <t>Higher return metrics strengthen investor confidence and valuation support.</t>
  </si>
  <si>
    <t>Interest income growth remained strong despite elevated funding costs.</t>
  </si>
  <si>
    <t>Sustaining ROE during balance sheet expansion remains a strategic priority</t>
  </si>
  <si>
    <t>AUM grew 22% YoY, crossing ₹5 lakh crore.</t>
  </si>
  <si>
    <t>Strong portfolio expansion supported income growth.</t>
  </si>
  <si>
    <t>Asset quality monitoring remains critical.</t>
  </si>
  <si>
    <t>GNPA %</t>
  </si>
  <si>
    <t>NNPA %</t>
  </si>
  <si>
    <t>Provision Coverage %</t>
  </si>
  <si>
    <t>Stage 3 Assets %</t>
  </si>
  <si>
    <t>Borrowings (₹ Cr)</t>
  </si>
  <si>
    <t>Liquidity Buffer (₹ Cr)</t>
  </si>
  <si>
    <t>Cost of Funds %</t>
  </si>
  <si>
    <t>Capital Adequacy %</t>
  </si>
  <si>
    <t>Tier 1 Ratio %</t>
  </si>
  <si>
    <t>Liquidity Coverage</t>
  </si>
  <si>
    <t>Segment</t>
  </si>
  <si>
    <t>% of Total AUM</t>
  </si>
  <si>
    <t>PCR %</t>
  </si>
  <si>
    <t>Strategic Observation</t>
  </si>
  <si>
    <t>Captive 2W &amp; 3W Finance</t>
  </si>
  <si>
    <t>Open Market 2W &amp; 3W Finance</t>
  </si>
  <si>
    <t>Urban Sales Finance</t>
  </si>
  <si>
    <t>Urban B2C Loans</t>
  </si>
  <si>
    <t>Rural Sales Finance</t>
  </si>
  <si>
    <t>Rural B2C Loans</t>
  </si>
  <si>
    <t>MFI Lending</t>
  </si>
  <si>
    <t>Gold Loans</t>
  </si>
  <si>
    <t>MSME Lending</t>
  </si>
  <si>
    <t>CV &amp; Tractor Finance</t>
  </si>
  <si>
    <t>Car Loans</t>
  </si>
  <si>
    <t>Commercial Lending</t>
  </si>
  <si>
    <t>Loan Against Securities</t>
  </si>
  <si>
    <t>Mortgages</t>
  </si>
  <si>
    <t>Total Consolidated</t>
  </si>
  <si>
    <t>Stable growth with managed asset quality metrics.</t>
  </si>
  <si>
    <t>Core volume engine; asset quality securely contained.</t>
  </si>
  <si>
    <t>Clean expansion with negligible asset degradation.</t>
  </si>
  <si>
    <t>Optimal risk-return profile with deep loss coverage.</t>
  </si>
  <si>
    <t>High-growth niche backed by robust risk provisions.</t>
  </si>
  <si>
    <t>Rapid low-base growth with well-contained defaults.</t>
  </si>
  <si>
    <t>Higher default trends; requires proactive monitoring focus.</t>
  </si>
  <si>
    <t>Pristine wholesale ledger providing strong group stability.</t>
  </si>
  <si>
    <t>Secured capital market book with near-zero default risk.</t>
  </si>
  <si>
    <t>Primary balance sheet anchor with highly resilient metrics.</t>
  </si>
  <si>
    <t>Source: Bajaj Finance Q4 FY26 Investor Presentation – Provisioning Coverage Consolidated Table (Page 66)</t>
  </si>
  <si>
    <t>Elevated stress segment requiring tighter credit monitoring.</t>
  </si>
  <si>
    <t>Strong asset quality supported by disciplined underwriting.</t>
  </si>
  <si>
    <t>Collateral-backed portfolio with structurally lower credit risk.</t>
  </si>
  <si>
    <t>Elevated stress metrics indicate higher portfolio risk sensitivity.</t>
  </si>
  <si>
    <t>Metric</t>
  </si>
  <si>
    <t>FY23</t>
  </si>
  <si>
    <t>FY24</t>
  </si>
  <si>
    <t>FY25</t>
  </si>
  <si>
    <t>FY26</t>
  </si>
  <si>
    <t>Loans Booked (Mn)</t>
  </si>
  <si>
    <t>Customer Franchise (Mn)</t>
  </si>
  <si>
    <t>Total Income</t>
  </si>
  <si>
    <t>Interest Expenses</t>
  </si>
  <si>
    <t>Net Total Income (NTI)</t>
  </si>
  <si>
    <t>Operating Expenses</t>
  </si>
  <si>
    <t>Loan Losses &amp; Provisions</t>
  </si>
  <si>
    <t>Profit Before Tax (PBT)</t>
  </si>
  <si>
    <t>Profit After Tax (PAT)</t>
  </si>
  <si>
    <t>Opex to NTI %</t>
  </si>
  <si>
    <t>Loan Loss to Avg AUF %</t>
  </si>
  <si>
    <t>Return on Assets (ROA) %</t>
  </si>
  <si>
    <t>Return on Equity (ROE) %</t>
  </si>
  <si>
    <t>Net NPA %</t>
  </si>
  <si>
    <t>Provisioning Coverage %</t>
  </si>
  <si>
    <t>Capital Adequacy (CRAR) %</t>
  </si>
  <si>
    <t>Leverage Ratio</t>
  </si>
  <si>
    <t>Notes</t>
  </si>
  <si>
    <t>FY27F</t>
  </si>
  <si>
    <t>FY28F</t>
  </si>
  <si>
    <t>FY29F</t>
  </si>
  <si>
    <t>Loans Booked</t>
  </si>
  <si>
    <t>Customer Franchise</t>
  </si>
  <si>
    <t>AUM</t>
  </si>
  <si>
    <t>Interest Income</t>
  </si>
  <si>
    <t>NTI</t>
  </si>
  <si>
    <t>PBT</t>
  </si>
  <si>
    <t>PAT</t>
  </si>
  <si>
    <t>ROA</t>
  </si>
  <si>
    <t>ROE</t>
  </si>
  <si>
    <t>Capital Adequacy</t>
  </si>
  <si>
    <t>Assumption</t>
  </si>
  <si>
    <t>Loan Growth %</t>
  </si>
  <si>
    <t>Customer Growth %</t>
  </si>
  <si>
    <t>AUM Growth %</t>
  </si>
  <si>
    <t>Interest Yield %</t>
  </si>
  <si>
    <t>Tax Rate %</t>
  </si>
  <si>
    <t>NII</t>
  </si>
  <si>
    <t>Assumption Notes</t>
  </si>
  <si>
    <t>Pre-Provision Operating Profit (PPOP)</t>
  </si>
  <si>
    <t>Bull</t>
  </si>
  <si>
    <t>Base</t>
  </si>
  <si>
    <t>Bear</t>
  </si>
  <si>
    <t>Output Metric</t>
  </si>
  <si>
    <t>FY27 PAT</t>
  </si>
  <si>
    <t>FY27 ROA</t>
  </si>
  <si>
    <t>FY27 ROE</t>
  </si>
  <si>
    <t>FY27 PBT</t>
  </si>
  <si>
    <t>FY27 AUM</t>
  </si>
  <si>
    <t>Section 1 — KPI Snapshot</t>
  </si>
  <si>
    <t>Value</t>
  </si>
  <si>
    <t>Section 2 — Profitability Analysis</t>
  </si>
  <si>
    <t>Section 3 — Risk Analysis</t>
  </si>
  <si>
    <t>Section 4 — Funding &amp; Liquidity</t>
  </si>
  <si>
    <t>Source: Bajaj Finance Q4 FY26 Investor Presentation.</t>
  </si>
  <si>
    <t>All metrics represent consolidated Q4 FY26 performance unless otherwise stated.</t>
  </si>
  <si>
    <t>Key Observation</t>
  </si>
  <si>
    <t>1. AUM crossed ₹5 lakh crore milestone</t>
  </si>
  <si>
    <t>2. ROE remained above 20%</t>
  </si>
  <si>
    <t>3. GNPA contained at 1.01%</t>
  </si>
  <si>
    <t>4. Liquidity buffer remained strong at ₹15,020 Cr</t>
  </si>
  <si>
    <t>5. PCR improved to 60%</t>
  </si>
  <si>
    <t>6. PAT grew 19% YoY to ₹5,660 Cr</t>
  </si>
  <si>
    <t>Portfolio Highlights</t>
  </si>
  <si>
    <t>Largest Segment: Mortgages (31.78%)</t>
  </si>
  <si>
    <t>Fastest Scale Engine: Urban B2C Loans (20.49%)</t>
  </si>
  <si>
    <t>Highest GNPA: Captive 2W &amp; 3W (14.35%)</t>
  </si>
  <si>
    <t>Lowest GNPA: Loan Against Securities (0.02%)</t>
  </si>
  <si>
    <t>Strongest PCR: Rural B2C Loans (87%)</t>
  </si>
  <si>
    <t>PAT Impact</t>
  </si>
  <si>
    <t>PBT Impact</t>
  </si>
  <si>
    <t>AUM Impact</t>
  </si>
  <si>
    <t>Variance</t>
  </si>
  <si>
    <t>Variance %</t>
  </si>
  <si>
    <t>Total Income (₹ Cr)</t>
  </si>
  <si>
    <t>Net NPA (%)</t>
  </si>
  <si>
    <t>Capital Adequacy (%)</t>
  </si>
  <si>
    <t>Commentary</t>
  </si>
  <si>
    <t>AUM Growth</t>
  </si>
  <si>
    <t>FY26 AUM increased 22.4% driven by strong customer additions and lending growth.</t>
  </si>
  <si>
    <t>PAT grew despite higher funding costs and provisioning requirements.</t>
  </si>
  <si>
    <t>Asset Quality</t>
  </si>
  <si>
    <t>Net NPA improved from FY25 levels despite rapid portfolio expansion.</t>
  </si>
  <si>
    <t>Capital Position</t>
  </si>
  <si>
    <t>Capital adequacy remained strong and comfortably above regulatory requirements.</t>
  </si>
  <si>
    <t>Primary Driver</t>
  </si>
  <si>
    <t>+93,314 Cr</t>
  </si>
  <si>
    <t>Customer acquisition and loan growth</t>
  </si>
  <si>
    <t>+13,064 Cr</t>
  </si>
  <si>
    <t>Expansion of earning assets</t>
  </si>
  <si>
    <t>+8,370 Cr</t>
  </si>
  <si>
    <t>Strong NII growth despite funding pressure</t>
  </si>
  <si>
    <t>+2,553 Cr</t>
  </si>
  <si>
    <t>Scale benefits and operating leverage</t>
  </si>
  <si>
    <t>Net NPA</t>
  </si>
  <si>
    <t>Stable underwriting quality</t>
  </si>
  <si>
    <t>Growth consuming capital</t>
  </si>
  <si>
    <t>KPI</t>
  </si>
  <si>
    <t>Customers (Mn)</t>
  </si>
  <si>
    <t>Year</t>
  </si>
  <si>
    <t>Forecast Table</t>
  </si>
  <si>
    <t>Historical Trend Table</t>
  </si>
  <si>
    <t>Executive KPI Table</t>
  </si>
  <si>
    <t>Power BI</t>
  </si>
  <si>
    <t>Microsoft Excel</t>
  </si>
  <si>
    <t>Scenario Analysis</t>
  </si>
  <si>
    <t>Author</t>
  </si>
  <si>
    <t>DAX</t>
  </si>
  <si>
    <t>Historical financial data compilation (FY23–FY26)</t>
  </si>
  <si>
    <t>Assumption-driven projections</t>
  </si>
  <si>
    <t>Bear, Base, and Bull scenario modeling</t>
  </si>
  <si>
    <t>KPI calculations and variance analysis</t>
  </si>
  <si>
    <t>KPI Cards (AUM, PAT, Customers, ROA, ROE, Net NPA, Capital Adequacy)</t>
  </si>
  <si>
    <t>Historical trend analysis</t>
  </si>
  <si>
    <t>Business insights and performance highlights</t>
  </si>
  <si>
    <t>Scenario comparison dashboard</t>
  </si>
  <si>
    <t>Financial and profitability analysis</t>
  </si>
  <si>
    <t>Growth outlook and strategic insights</t>
  </si>
  <si>
    <t>AUM projected to reach ~₹8.38 lakh Cr by FY29</t>
  </si>
  <si>
    <t>PAT expected to grow steadily across forecast years</t>
  </si>
  <si>
    <t>Bull scenario delivers strongest financial outcomes</t>
  </si>
  <si>
    <t>Capital adequacy remains healthy across scenarios</t>
  </si>
  <si>
    <t>Financial Analysis | FP&amp;A | Forecasting | Scenario Analysis | Power BI | Excel | Data Visualization | Business Storytelling</t>
  </si>
  <si>
    <t>Prathamesh Rathod</t>
  </si>
  <si>
    <t>FY27-FY29 forecast visualization</t>
  </si>
  <si>
    <t>Bajaj Finance Ltd. - Strategic FP&amp;A Dashboard</t>
  </si>
  <si>
    <t xml:space="preserve">2. Tools Used </t>
  </si>
  <si>
    <t xml:space="preserve">1. Project Objective </t>
  </si>
  <si>
    <t>3. Excel Work Performed</t>
  </si>
  <si>
    <t>4. Power BI Dashboard Features</t>
  </si>
  <si>
    <t>5. Key Insights</t>
  </si>
  <si>
    <t xml:space="preserve">6. Skills </t>
  </si>
  <si>
    <t>I. Executive Summary</t>
  </si>
  <si>
    <t>II. Forecast &amp; Scenario Analysis</t>
  </si>
  <si>
    <t>Financial Forecasting</t>
  </si>
  <si>
    <r>
      <t xml:space="preserve">1. All currency figures are denominated uniformly in </t>
    </r>
    <r>
      <rPr>
        <b/>
        <sz val="11"/>
        <color theme="1"/>
        <rFont val="Calibri"/>
        <family val="2"/>
        <scheme val="minor"/>
      </rPr>
      <t>₹ Crores</t>
    </r>
    <r>
      <rPr>
        <sz val="11"/>
        <color theme="1"/>
        <rFont val="Calibri"/>
        <family val="2"/>
        <scheme val="minor"/>
      </rPr>
      <t>. Volume thresholds are expressed in Millions (Mn).</t>
    </r>
  </si>
  <si>
    <t>2. FY23–FY25 sourced from audited annual reports. FY26 sourced from Q4 FY26 investor presentation and audited financial results.</t>
  </si>
  <si>
    <t>3. FY26 ROA and ROE are based on management-reported exit metrics disclosed in Q4 FY26 investor presentation.</t>
  </si>
  <si>
    <t>1. NTI modeled at 1.21x NII based on FY26 historical relationship</t>
  </si>
  <si>
    <t>2. Interest income modeled using AUM × Yield approximation</t>
  </si>
  <si>
    <t>3. Interest expense modeled using AUM × Cost of Funds approximation</t>
  </si>
  <si>
    <t>4. Forecast assumes gradual moderation in growth and spreads</t>
  </si>
  <si>
    <t>6. Net NPA % forecast reflects stable asset quality under continued high-growth lending environment</t>
  </si>
  <si>
    <t>7. PCR assumptions reflect gradual strengthening of provisioning buffers and conservative risk management approach</t>
  </si>
  <si>
    <t>8. Capital adequacy forecast assumes internal accrual-led capital support without major external equity dilution</t>
  </si>
  <si>
    <t>9. Leverage ratio forecast assumes balance sheet scaling supported through incremental borrowings and deposits</t>
  </si>
  <si>
    <t>Developed a Strategic FP&amp;A Dashboard for Bajaj Finance Ltd. to analyze historical performance, forecast FY27–FY29 financials, and evaluate Bear, Base, and Bull scenarios for decision-making.</t>
  </si>
  <si>
    <t>Financial forecasting (FY27–FY29)</t>
  </si>
  <si>
    <t>Highest Risk Watchlist: Captive 2W &amp; 3W Finance</t>
  </si>
  <si>
    <t>Trend / CAGR</t>
  </si>
  <si>
    <t>Key Historical Takeaways</t>
  </si>
  <si>
    <t>• AUM CAGR: 27.3%</t>
  </si>
  <si>
    <t>• PAT CAGR: 18.9%</t>
  </si>
  <si>
    <t>• Customer franchise CAGR: 20.0%</t>
  </si>
  <si>
    <t>• Asset quality remained stable with NNPA below 0.5%</t>
  </si>
  <si>
    <t>• ROE moderated from 23.5% to 19.7%</t>
  </si>
  <si>
    <t>Notes:</t>
  </si>
  <si>
    <t>5. Asset quality and capital metrics are based on management-guided assumptions.</t>
  </si>
  <si>
    <t>Upside Impact</t>
  </si>
  <si>
    <t>Downside Impact</t>
  </si>
  <si>
    <t>Bull and Bear scenarios represent sensitivity overlays derived from the Base Case forecast and are not independently integrated financial models.</t>
  </si>
  <si>
    <t>• Strong balance sheet growth supported by customer acquisition.</t>
  </si>
  <si>
    <t>• Asset quality remained healthy despite rapid portfolio expansion.</t>
  </si>
  <si>
    <t>• Profitability remained resilient amid funding cost pressures.</t>
  </si>
  <si>
    <t>• Capital adequacy continues to provide room for future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</si>
</sst>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7">
    <xf numFmtId="0" fontId="0" fillId="0" borderId="0" xfId="0"/>
    <xf numFmtId="0" fontId="0" fillId="0" borderId="1" xfId="0" applyBorder="1" applyAlignment="1">
      <alignment horizontal="right" vertical="center"/>
    </xf>
    <xf numFmtId="0" fontId="0" fillId="0" borderId="1" xfId="0" applyBorder="1"/>
    <xf numFmtId="10" fontId="0" fillId="0" borderId="1" xfId="0" applyNumberFormat="1" applyBorder="1"/>
    <xf numFmtId="9" fontId="0" fillId="0" borderId="1" xfId="1" applyFont="1" applyBorder="1"/>
    <xf numFmtId="10" fontId="0" fillId="0" borderId="1" xfId="1" applyNumberFormat="1" applyFont="1" applyBorder="1"/>
    <xf numFmtId="9" fontId="0" fillId="0" borderId="1" xfId="0" applyNumberFormat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1" xfId="1" applyNumberFormat="1" applyFont="1" applyBorder="1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/>
    <xf numFmtId="0" fontId="0" fillId="0" borderId="2" xfId="0" applyBorder="1"/>
    <xf numFmtId="10" fontId="0" fillId="0" borderId="2" xfId="1" applyNumberFormat="1" applyFont="1" applyBorder="1"/>
    <xf numFmtId="10" fontId="0" fillId="0" borderId="3" xfId="1" applyNumberFormat="1" applyFont="1" applyBorder="1"/>
    <xf numFmtId="10" fontId="0" fillId="0" borderId="3" xfId="0" applyNumberFormat="1" applyBorder="1"/>
    <xf numFmtId="9" fontId="0" fillId="0" borderId="3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/>
    <xf numFmtId="10" fontId="0" fillId="0" borderId="0" xfId="0" applyNumberFormat="1" applyAlignment="1">
      <alignment vertical="center"/>
    </xf>
    <xf numFmtId="0" fontId="0" fillId="0" borderId="1" xfId="0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horizontal="right" vertical="center"/>
    </xf>
    <xf numFmtId="165" fontId="0" fillId="0" borderId="1" xfId="2" applyNumberFormat="1" applyFont="1" applyBorder="1" applyAlignment="1">
      <alignment vertical="center" wrapText="1"/>
    </xf>
    <xf numFmtId="165" fontId="0" fillId="0" borderId="1" xfId="2" applyNumberFormat="1" applyFont="1" applyBorder="1" applyAlignment="1">
      <alignment vertical="center"/>
    </xf>
    <xf numFmtId="165" fontId="0" fillId="0" borderId="1" xfId="2" applyNumberFormat="1" applyFont="1" applyBorder="1"/>
    <xf numFmtId="165" fontId="0" fillId="0" borderId="2" xfId="2" applyNumberFormat="1" applyFont="1" applyBorder="1"/>
    <xf numFmtId="165" fontId="0" fillId="0" borderId="3" xfId="2" applyNumberFormat="1" applyFont="1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5" xfId="0" applyBorder="1"/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 applyAlignment="1">
      <alignment vertical="center"/>
    </xf>
    <xf numFmtId="0" fontId="0" fillId="2" borderId="0" xfId="0" applyFill="1" applyBorder="1"/>
    <xf numFmtId="0" fontId="0" fillId="2" borderId="9" xfId="0" applyFill="1" applyBorder="1"/>
    <xf numFmtId="0" fontId="0" fillId="2" borderId="10" xfId="0" applyFill="1" applyBorder="1" applyAlignment="1">
      <alignment vertical="center"/>
    </xf>
    <xf numFmtId="0" fontId="0" fillId="2" borderId="5" xfId="0" applyFill="1" applyBorder="1"/>
    <xf numFmtId="0" fontId="0" fillId="2" borderId="11" xfId="0" applyFill="1" applyBorder="1"/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/>
    </xf>
    <xf numFmtId="0" fontId="1" fillId="0" borderId="13" xfId="0" applyFont="1" applyBorder="1"/>
    <xf numFmtId="165" fontId="0" fillId="0" borderId="13" xfId="2" applyNumberFormat="1" applyFont="1" applyBorder="1"/>
    <xf numFmtId="10" fontId="0" fillId="0" borderId="13" xfId="0" applyNumberFormat="1" applyBorder="1"/>
    <xf numFmtId="9" fontId="0" fillId="0" borderId="13" xfId="0" applyNumberFormat="1" applyBorder="1"/>
    <xf numFmtId="9" fontId="0" fillId="0" borderId="13" xfId="1" applyFont="1" applyBorder="1"/>
    <xf numFmtId="0" fontId="0" fillId="0" borderId="13" xfId="0" applyBorder="1"/>
    <xf numFmtId="0" fontId="0" fillId="0" borderId="12" xfId="0" applyBorder="1"/>
    <xf numFmtId="165" fontId="0" fillId="0" borderId="12" xfId="2" applyNumberFormat="1" applyFont="1" applyBorder="1"/>
    <xf numFmtId="10" fontId="0" fillId="0" borderId="12" xfId="0" applyNumberFormat="1" applyBorder="1"/>
    <xf numFmtId="10" fontId="0" fillId="0" borderId="12" xfId="1" applyNumberFormat="1" applyFont="1" applyBorder="1"/>
    <xf numFmtId="9" fontId="0" fillId="0" borderId="12" xfId="1" applyFont="1" applyBorder="1"/>
    <xf numFmtId="0" fontId="1" fillId="4" borderId="1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0" fillId="2" borderId="8" xfId="0" applyFill="1" applyBorder="1"/>
    <xf numFmtId="0" fontId="0" fillId="2" borderId="10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3" fontId="0" fillId="0" borderId="0" xfId="0" applyNumberFormat="1" applyFill="1" applyBorder="1" applyAlignment="1">
      <alignment horizontal="right" vertical="center" wrapText="1"/>
    </xf>
    <xf numFmtId="165" fontId="0" fillId="0" borderId="0" xfId="2" applyNumberFormat="1" applyFont="1" applyFill="1" applyBorder="1" applyAlignment="1">
      <alignment horizontal="right" vertical="center" wrapText="1"/>
    </xf>
    <xf numFmtId="10" fontId="0" fillId="0" borderId="0" xfId="0" applyNumberFormat="1" applyFill="1" applyBorder="1" applyAlignment="1">
      <alignment horizontal="right" vertical="center" wrapText="1"/>
    </xf>
    <xf numFmtId="0" fontId="0" fillId="0" borderId="16" xfId="0" applyBorder="1"/>
    <xf numFmtId="165" fontId="0" fillId="0" borderId="16" xfId="2" applyNumberFormat="1" applyFont="1" applyBorder="1"/>
    <xf numFmtId="10" fontId="0" fillId="0" borderId="16" xfId="0" applyNumberFormat="1" applyBorder="1"/>
    <xf numFmtId="0" fontId="0" fillId="0" borderId="17" xfId="0" applyBorder="1"/>
    <xf numFmtId="165" fontId="0" fillId="0" borderId="18" xfId="2" applyNumberFormat="1" applyFont="1" applyBorder="1"/>
    <xf numFmtId="10" fontId="0" fillId="0" borderId="19" xfId="0" applyNumberFormat="1" applyBorder="1"/>
    <xf numFmtId="0" fontId="1" fillId="2" borderId="4" xfId="0" applyFont="1" applyFill="1" applyBorder="1"/>
    <xf numFmtId="0" fontId="0" fillId="0" borderId="0" xfId="0" applyBorder="1" applyAlignment="1">
      <alignment vertical="center"/>
    </xf>
    <xf numFmtId="10" fontId="0" fillId="0" borderId="0" xfId="0" applyNumberFormat="1" applyBorder="1" applyAlignment="1">
      <alignment vertical="center"/>
    </xf>
    <xf numFmtId="0" fontId="0" fillId="5" borderId="6" xfId="0" applyFill="1" applyBorder="1"/>
    <xf numFmtId="0" fontId="0" fillId="5" borderId="4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5" xfId="0" applyFill="1" applyBorder="1"/>
    <xf numFmtId="0" fontId="0" fillId="5" borderId="11" xfId="0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R44"/>
  <sheetViews>
    <sheetView showGridLines="0" tabSelected="1" zoomScale="80" zoomScaleNormal="80" workbookViewId="0">
      <selection activeCell="I8" sqref="I8"/>
    </sheetView>
  </sheetViews>
  <sheetFormatPr defaultRowHeight="14.4" x14ac:dyDescent="0.3"/>
  <sheetData>
    <row r="3" spans="2:18" ht="31.2" x14ac:dyDescent="0.3">
      <c r="B3" s="38" t="s">
        <v>219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5" spans="2:18" ht="23.4" x14ac:dyDescent="0.3">
      <c r="B5" s="35" t="s">
        <v>221</v>
      </c>
    </row>
    <row r="6" spans="2:18" x14ac:dyDescent="0.3">
      <c r="B6" t="s">
        <v>240</v>
      </c>
    </row>
    <row r="8" spans="2:18" ht="23.4" x14ac:dyDescent="0.3">
      <c r="B8" s="35" t="s">
        <v>220</v>
      </c>
    </row>
    <row r="9" spans="2:18" x14ac:dyDescent="0.3">
      <c r="B9" s="12" t="s">
        <v>198</v>
      </c>
    </row>
    <row r="10" spans="2:18" x14ac:dyDescent="0.3">
      <c r="B10" s="12" t="s">
        <v>197</v>
      </c>
    </row>
    <row r="11" spans="2:18" x14ac:dyDescent="0.3">
      <c r="B11" s="12" t="s">
        <v>201</v>
      </c>
    </row>
    <row r="12" spans="2:18" x14ac:dyDescent="0.3">
      <c r="B12" s="12" t="s">
        <v>228</v>
      </c>
    </row>
    <row r="13" spans="2:18" x14ac:dyDescent="0.3">
      <c r="B13" s="12" t="s">
        <v>199</v>
      </c>
    </row>
    <row r="15" spans="2:18" ht="23.4" x14ac:dyDescent="0.3">
      <c r="B15" s="35" t="s">
        <v>222</v>
      </c>
    </row>
    <row r="16" spans="2:18" x14ac:dyDescent="0.3">
      <c r="B16" s="12" t="s">
        <v>202</v>
      </c>
    </row>
    <row r="17" spans="2:2" x14ac:dyDescent="0.3">
      <c r="B17" s="12" t="s">
        <v>241</v>
      </c>
    </row>
    <row r="18" spans="2:2" x14ac:dyDescent="0.3">
      <c r="B18" s="12" t="s">
        <v>203</v>
      </c>
    </row>
    <row r="19" spans="2:2" x14ac:dyDescent="0.3">
      <c r="B19" s="12" t="s">
        <v>204</v>
      </c>
    </row>
    <row r="20" spans="2:2" x14ac:dyDescent="0.3">
      <c r="B20" s="12" t="s">
        <v>205</v>
      </c>
    </row>
    <row r="22" spans="2:2" ht="23.4" x14ac:dyDescent="0.3">
      <c r="B22" s="35" t="s">
        <v>223</v>
      </c>
    </row>
    <row r="23" spans="2:2" ht="18" x14ac:dyDescent="0.3">
      <c r="B23" s="37" t="s">
        <v>226</v>
      </c>
    </row>
    <row r="24" spans="2:2" x14ac:dyDescent="0.3">
      <c r="B24" s="12" t="s">
        <v>206</v>
      </c>
    </row>
    <row r="25" spans="2:2" x14ac:dyDescent="0.3">
      <c r="B25" s="12" t="s">
        <v>207</v>
      </c>
    </row>
    <row r="26" spans="2:2" x14ac:dyDescent="0.3">
      <c r="B26" s="12" t="s">
        <v>208</v>
      </c>
    </row>
    <row r="28" spans="2:2" ht="18" x14ac:dyDescent="0.3">
      <c r="B28" s="37" t="s">
        <v>227</v>
      </c>
    </row>
    <row r="29" spans="2:2" x14ac:dyDescent="0.3">
      <c r="B29" s="12" t="s">
        <v>218</v>
      </c>
    </row>
    <row r="30" spans="2:2" x14ac:dyDescent="0.3">
      <c r="B30" s="12" t="s">
        <v>209</v>
      </c>
    </row>
    <row r="31" spans="2:2" x14ac:dyDescent="0.3">
      <c r="B31" s="12" t="s">
        <v>210</v>
      </c>
    </row>
    <row r="32" spans="2:2" x14ac:dyDescent="0.3">
      <c r="B32" s="12" t="s">
        <v>211</v>
      </c>
    </row>
    <row r="34" spans="2:2" ht="23.4" x14ac:dyDescent="0.3">
      <c r="B34" s="35" t="s">
        <v>224</v>
      </c>
    </row>
    <row r="35" spans="2:2" x14ac:dyDescent="0.3">
      <c r="B35" s="12" t="s">
        <v>212</v>
      </c>
    </row>
    <row r="36" spans="2:2" x14ac:dyDescent="0.3">
      <c r="B36" s="12" t="s">
        <v>213</v>
      </c>
    </row>
    <row r="37" spans="2:2" x14ac:dyDescent="0.3">
      <c r="B37" s="12" t="s">
        <v>214</v>
      </c>
    </row>
    <row r="38" spans="2:2" x14ac:dyDescent="0.3">
      <c r="B38" s="12" t="s">
        <v>215</v>
      </c>
    </row>
    <row r="39" spans="2:2" x14ac:dyDescent="0.3">
      <c r="B39" s="36"/>
    </row>
    <row r="40" spans="2:2" ht="23.4" x14ac:dyDescent="0.3">
      <c r="B40" s="35" t="s">
        <v>225</v>
      </c>
    </row>
    <row r="41" spans="2:2" x14ac:dyDescent="0.3">
      <c r="B41" t="s">
        <v>216</v>
      </c>
    </row>
    <row r="43" spans="2:2" ht="23.4" x14ac:dyDescent="0.3">
      <c r="B43" s="35" t="s">
        <v>200</v>
      </c>
    </row>
    <row r="44" spans="2:2" x14ac:dyDescent="0.3">
      <c r="B44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551C-E934-48BC-A5B7-A6EC1527BE01}">
  <dimension ref="B2:K53"/>
  <sheetViews>
    <sheetView topLeftCell="A4" zoomScale="90" zoomScaleNormal="90" workbookViewId="0">
      <selection activeCell="I18" sqref="I18"/>
    </sheetView>
  </sheetViews>
  <sheetFormatPr defaultRowHeight="14.4" x14ac:dyDescent="0.3"/>
  <cols>
    <col min="2" max="2" width="31" customWidth="1"/>
    <col min="3" max="3" width="15.33203125" customWidth="1"/>
  </cols>
  <sheetData>
    <row r="2" spans="2:11" x14ac:dyDescent="0.3">
      <c r="B2" s="10" t="s">
        <v>143</v>
      </c>
    </row>
    <row r="3" spans="2:11" x14ac:dyDescent="0.3">
      <c r="B3" s="53" t="s">
        <v>89</v>
      </c>
      <c r="C3" s="53" t="s">
        <v>144</v>
      </c>
      <c r="F3" s="40" t="s">
        <v>148</v>
      </c>
      <c r="G3" s="40"/>
      <c r="H3" s="40"/>
      <c r="I3" s="40"/>
      <c r="J3" s="40"/>
      <c r="K3" s="40"/>
    </row>
    <row r="4" spans="2:11" x14ac:dyDescent="0.3">
      <c r="B4" s="11" t="s">
        <v>117</v>
      </c>
      <c r="C4" s="31">
        <v>509975</v>
      </c>
      <c r="F4" s="52" t="s">
        <v>149</v>
      </c>
    </row>
    <row r="5" spans="2:11" x14ac:dyDescent="0.3">
      <c r="B5" s="2" t="s">
        <v>3</v>
      </c>
      <c r="C5" s="11">
        <v>12.89</v>
      </c>
    </row>
    <row r="6" spans="2:11" x14ac:dyDescent="0.3">
      <c r="B6" s="2" t="s">
        <v>11</v>
      </c>
      <c r="C6" s="31">
        <v>19179</v>
      </c>
      <c r="F6" s="43" t="s">
        <v>150</v>
      </c>
      <c r="G6" s="44"/>
      <c r="H6" s="44"/>
      <c r="I6" s="44"/>
      <c r="J6" s="45"/>
    </row>
    <row r="7" spans="2:11" x14ac:dyDescent="0.3">
      <c r="B7" s="2" t="s">
        <v>4</v>
      </c>
      <c r="C7" s="31">
        <v>11781</v>
      </c>
      <c r="F7" s="46" t="s">
        <v>151</v>
      </c>
      <c r="G7" s="47"/>
      <c r="H7" s="47"/>
      <c r="I7" s="47"/>
      <c r="J7" s="48"/>
    </row>
    <row r="8" spans="2:11" x14ac:dyDescent="0.3">
      <c r="B8" s="2" t="s">
        <v>5</v>
      </c>
      <c r="C8" s="31">
        <v>5660</v>
      </c>
      <c r="F8" s="46" t="s">
        <v>152</v>
      </c>
      <c r="G8" s="47"/>
      <c r="H8" s="47"/>
      <c r="I8" s="47"/>
      <c r="J8" s="48"/>
    </row>
    <row r="9" spans="2:11" x14ac:dyDescent="0.3">
      <c r="B9" s="2" t="s">
        <v>6</v>
      </c>
      <c r="C9" s="22">
        <v>4.7E-2</v>
      </c>
      <c r="F9" s="46" t="s">
        <v>153</v>
      </c>
      <c r="G9" s="47"/>
      <c r="H9" s="47"/>
      <c r="I9" s="47"/>
      <c r="J9" s="48"/>
    </row>
    <row r="10" spans="2:11" x14ac:dyDescent="0.3">
      <c r="B10" s="2" t="s">
        <v>7</v>
      </c>
      <c r="C10" s="22">
        <v>0.20030000000000001</v>
      </c>
      <c r="F10" s="46" t="s">
        <v>154</v>
      </c>
      <c r="G10" s="47"/>
      <c r="H10" s="47"/>
      <c r="I10" s="47"/>
      <c r="J10" s="48"/>
    </row>
    <row r="11" spans="2:11" x14ac:dyDescent="0.3">
      <c r="B11" s="24" t="s">
        <v>8</v>
      </c>
      <c r="C11" s="25">
        <v>119.33</v>
      </c>
      <c r="F11" s="46" t="s">
        <v>155</v>
      </c>
      <c r="G11" s="47"/>
      <c r="H11" s="47"/>
      <c r="I11" s="47"/>
      <c r="J11" s="48"/>
    </row>
    <row r="12" spans="2:11" x14ac:dyDescent="0.3">
      <c r="B12" s="2" t="s">
        <v>9</v>
      </c>
      <c r="C12" s="32">
        <v>4098</v>
      </c>
      <c r="F12" s="49" t="s">
        <v>156</v>
      </c>
      <c r="G12" s="50"/>
      <c r="H12" s="50"/>
      <c r="I12" s="50"/>
      <c r="J12" s="51"/>
    </row>
    <row r="14" spans="2:11" x14ac:dyDescent="0.3">
      <c r="B14" s="10" t="s">
        <v>145</v>
      </c>
    </row>
    <row r="15" spans="2:11" x14ac:dyDescent="0.3">
      <c r="B15" s="53" t="s">
        <v>89</v>
      </c>
      <c r="C15" s="53" t="s">
        <v>144</v>
      </c>
    </row>
    <row r="16" spans="2:11" x14ac:dyDescent="0.3">
      <c r="B16" s="2" t="s">
        <v>11</v>
      </c>
      <c r="C16" s="32">
        <v>19179</v>
      </c>
    </row>
    <row r="17" spans="2:3" x14ac:dyDescent="0.3">
      <c r="B17" s="2" t="s">
        <v>12</v>
      </c>
      <c r="C17" s="32">
        <v>7398</v>
      </c>
    </row>
    <row r="18" spans="2:3" x14ac:dyDescent="0.3">
      <c r="B18" s="2" t="s">
        <v>4</v>
      </c>
      <c r="C18" s="32">
        <f>C7</f>
        <v>11781</v>
      </c>
    </row>
    <row r="19" spans="2:3" x14ac:dyDescent="0.3">
      <c r="B19" s="2" t="s">
        <v>13</v>
      </c>
      <c r="C19" s="32">
        <v>14468</v>
      </c>
    </row>
    <row r="20" spans="2:3" x14ac:dyDescent="0.3">
      <c r="B20" s="2" t="s">
        <v>14</v>
      </c>
      <c r="C20" s="32">
        <v>4801</v>
      </c>
    </row>
    <row r="21" spans="2:3" x14ac:dyDescent="0.3">
      <c r="B21" s="2" t="s">
        <v>19</v>
      </c>
      <c r="C21" s="32">
        <v>9667</v>
      </c>
    </row>
    <row r="22" spans="2:3" x14ac:dyDescent="0.3">
      <c r="B22" s="2" t="s">
        <v>15</v>
      </c>
      <c r="C22" s="32">
        <v>2125</v>
      </c>
    </row>
    <row r="23" spans="2:3" x14ac:dyDescent="0.3">
      <c r="B23" s="2" t="s">
        <v>20</v>
      </c>
      <c r="C23" s="32">
        <v>10</v>
      </c>
    </row>
    <row r="24" spans="2:3" x14ac:dyDescent="0.3">
      <c r="B24" s="2" t="s">
        <v>16</v>
      </c>
      <c r="C24" s="32">
        <v>7552</v>
      </c>
    </row>
    <row r="25" spans="2:3" x14ac:dyDescent="0.3">
      <c r="B25" s="2" t="s">
        <v>5</v>
      </c>
      <c r="C25" s="32">
        <f>C8</f>
        <v>5660</v>
      </c>
    </row>
    <row r="26" spans="2:3" x14ac:dyDescent="0.3">
      <c r="B26" s="2" t="s">
        <v>17</v>
      </c>
      <c r="C26" s="3">
        <v>0.33200000000000002</v>
      </c>
    </row>
    <row r="27" spans="2:3" x14ac:dyDescent="0.3">
      <c r="B27" s="2" t="s">
        <v>18</v>
      </c>
      <c r="C27" s="3">
        <v>1.7500000000000002E-2</v>
      </c>
    </row>
    <row r="28" spans="2:3" x14ac:dyDescent="0.3">
      <c r="B28" s="2" t="s">
        <v>6</v>
      </c>
      <c r="C28" s="3">
        <f>C9</f>
        <v>4.7E-2</v>
      </c>
    </row>
    <row r="29" spans="2:3" x14ac:dyDescent="0.3">
      <c r="B29" s="2" t="s">
        <v>7</v>
      </c>
      <c r="C29" s="3">
        <f>C10</f>
        <v>0.20030000000000001</v>
      </c>
    </row>
    <row r="31" spans="2:3" x14ac:dyDescent="0.3">
      <c r="B31" s="10" t="s">
        <v>146</v>
      </c>
    </row>
    <row r="32" spans="2:3" x14ac:dyDescent="0.3">
      <c r="B32" s="53" t="s">
        <v>89</v>
      </c>
      <c r="C32" s="53" t="s">
        <v>144</v>
      </c>
    </row>
    <row r="33" spans="2:3" x14ac:dyDescent="0.3">
      <c r="B33" s="24" t="s">
        <v>45</v>
      </c>
      <c r="C33" s="3">
        <v>1.01E-2</v>
      </c>
    </row>
    <row r="34" spans="2:3" x14ac:dyDescent="0.3">
      <c r="B34" s="24" t="s">
        <v>46</v>
      </c>
      <c r="C34" s="3">
        <v>4.1000000000000003E-3</v>
      </c>
    </row>
    <row r="35" spans="2:3" x14ac:dyDescent="0.3">
      <c r="B35" s="24" t="s">
        <v>47</v>
      </c>
      <c r="C35" s="6">
        <v>0.6</v>
      </c>
    </row>
    <row r="36" spans="2:3" x14ac:dyDescent="0.3">
      <c r="B36" s="24" t="s">
        <v>10</v>
      </c>
      <c r="C36" s="3">
        <v>1.7500000000000002E-2</v>
      </c>
    </row>
    <row r="37" spans="2:3" x14ac:dyDescent="0.3">
      <c r="B37" s="24" t="s">
        <v>48</v>
      </c>
      <c r="C37" s="3">
        <v>1.01E-2</v>
      </c>
    </row>
    <row r="39" spans="2:3" x14ac:dyDescent="0.3">
      <c r="B39" s="10" t="s">
        <v>147</v>
      </c>
    </row>
    <row r="40" spans="2:3" x14ac:dyDescent="0.3">
      <c r="B40" s="53" t="s">
        <v>89</v>
      </c>
      <c r="C40" s="53" t="s">
        <v>144</v>
      </c>
    </row>
    <row r="41" spans="2:3" x14ac:dyDescent="0.3">
      <c r="B41" s="24" t="s">
        <v>49</v>
      </c>
      <c r="C41" s="32">
        <v>428331</v>
      </c>
    </row>
    <row r="42" spans="2:3" x14ac:dyDescent="0.3">
      <c r="B42" s="24" t="s">
        <v>50</v>
      </c>
      <c r="C42" s="32">
        <v>15020</v>
      </c>
    </row>
    <row r="43" spans="2:3" x14ac:dyDescent="0.3">
      <c r="B43" s="24" t="s">
        <v>51</v>
      </c>
      <c r="C43" s="3">
        <v>7.4099999999999999E-2</v>
      </c>
    </row>
    <row r="44" spans="2:3" x14ac:dyDescent="0.3">
      <c r="B44" s="24" t="s">
        <v>52</v>
      </c>
      <c r="C44" s="3">
        <v>0.2155</v>
      </c>
    </row>
    <row r="45" spans="2:3" x14ac:dyDescent="0.3">
      <c r="B45" s="24" t="s">
        <v>53</v>
      </c>
      <c r="C45" s="3">
        <v>0.20669999999999999</v>
      </c>
    </row>
    <row r="46" spans="2:3" x14ac:dyDescent="0.3">
      <c r="B46" s="24" t="s">
        <v>54</v>
      </c>
      <c r="C46" s="6">
        <v>2.2799999999999998</v>
      </c>
    </row>
    <row r="48" spans="2:3" x14ac:dyDescent="0.3">
      <c r="B48" s="81"/>
      <c r="C48" s="82"/>
    </row>
    <row r="49" spans="2:3" x14ac:dyDescent="0.3">
      <c r="B49" s="83"/>
      <c r="C49" s="83"/>
    </row>
    <row r="50" spans="2:3" x14ac:dyDescent="0.3">
      <c r="B50" s="84"/>
      <c r="C50" s="85"/>
    </row>
    <row r="51" spans="2:3" x14ac:dyDescent="0.3">
      <c r="B51" s="84"/>
      <c r="C51" s="86"/>
    </row>
    <row r="52" spans="2:3" x14ac:dyDescent="0.3">
      <c r="B52" s="84"/>
      <c r="C52" s="87"/>
    </row>
    <row r="53" spans="2:3" x14ac:dyDescent="0.3">
      <c r="B53" s="84"/>
      <c r="C53" s="88"/>
    </row>
  </sheetData>
  <mergeCells count="1">
    <mergeCell ref="F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0F30-CD59-4E59-9D14-C797872AD74C}">
  <dimension ref="B2:N18"/>
  <sheetViews>
    <sheetView workbookViewId="0">
      <selection activeCell="I12" sqref="I12"/>
    </sheetView>
  </sheetViews>
  <sheetFormatPr defaultRowHeight="14.4" x14ac:dyDescent="0.3"/>
  <cols>
    <col min="2" max="2" width="27" bestFit="1" customWidth="1"/>
    <col min="3" max="3" width="11.33203125" bestFit="1" customWidth="1"/>
    <col min="4" max="4" width="14" bestFit="1" customWidth="1"/>
    <col min="7" max="7" width="6.21875" bestFit="1" customWidth="1"/>
    <col min="8" max="8" width="52.21875" customWidth="1"/>
  </cols>
  <sheetData>
    <row r="2" spans="2:14" x14ac:dyDescent="0.3">
      <c r="B2" s="53" t="s">
        <v>55</v>
      </c>
      <c r="C2" s="54" t="s">
        <v>2</v>
      </c>
      <c r="D2" s="54" t="s">
        <v>56</v>
      </c>
      <c r="E2" s="54" t="s">
        <v>45</v>
      </c>
      <c r="F2" s="54" t="s">
        <v>46</v>
      </c>
      <c r="G2" s="54" t="s">
        <v>57</v>
      </c>
      <c r="H2" s="53" t="s">
        <v>58</v>
      </c>
      <c r="J2" s="55" t="s">
        <v>157</v>
      </c>
      <c r="K2" s="44"/>
      <c r="L2" s="44"/>
      <c r="M2" s="44"/>
      <c r="N2" s="45"/>
    </row>
    <row r="3" spans="2:14" x14ac:dyDescent="0.3">
      <c r="B3" s="2" t="s">
        <v>59</v>
      </c>
      <c r="C3" s="32">
        <v>4288</v>
      </c>
      <c r="D3" s="3">
        <f>C3/$C$17</f>
        <v>8.4082553066326775E-3</v>
      </c>
      <c r="E3" s="3">
        <v>0.14349999999999999</v>
      </c>
      <c r="F3" s="5">
        <v>8.09E-2</v>
      </c>
      <c r="G3" s="4">
        <v>0.47</v>
      </c>
      <c r="H3" s="2" t="s">
        <v>85</v>
      </c>
      <c r="J3" s="46" t="s">
        <v>158</v>
      </c>
      <c r="K3" s="47"/>
      <c r="L3" s="47"/>
      <c r="M3" s="47"/>
      <c r="N3" s="48"/>
    </row>
    <row r="4" spans="2:14" x14ac:dyDescent="0.3">
      <c r="B4" s="2" t="s">
        <v>60</v>
      </c>
      <c r="C4" s="32">
        <v>8325</v>
      </c>
      <c r="D4" s="3">
        <f t="shared" ref="D4:D16" si="0">C4/$C$17</f>
        <v>1.6324329624001176E-2</v>
      </c>
      <c r="E4" s="3">
        <v>1.6199999999999999E-2</v>
      </c>
      <c r="F4" s="5">
        <v>8.9999999999999993E-3</v>
      </c>
      <c r="G4" s="4">
        <v>0.45</v>
      </c>
      <c r="H4" s="2" t="s">
        <v>74</v>
      </c>
      <c r="J4" s="46" t="s">
        <v>159</v>
      </c>
      <c r="K4" s="47"/>
      <c r="L4" s="47"/>
      <c r="M4" s="47"/>
      <c r="N4" s="48"/>
    </row>
    <row r="5" spans="2:14" x14ac:dyDescent="0.3">
      <c r="B5" s="2" t="s">
        <v>61</v>
      </c>
      <c r="C5" s="32">
        <v>37430</v>
      </c>
      <c r="D5" s="3">
        <f t="shared" si="0"/>
        <v>7.3395754693857548E-2</v>
      </c>
      <c r="E5" s="5">
        <v>4.1999999999999997E-3</v>
      </c>
      <c r="F5" s="5">
        <v>5.9999999999999995E-4</v>
      </c>
      <c r="G5" s="4">
        <v>0.86</v>
      </c>
      <c r="H5" s="2" t="s">
        <v>86</v>
      </c>
      <c r="J5" s="46" t="s">
        <v>160</v>
      </c>
      <c r="K5" s="47"/>
      <c r="L5" s="47"/>
      <c r="M5" s="47"/>
      <c r="N5" s="48"/>
    </row>
    <row r="6" spans="2:14" x14ac:dyDescent="0.3">
      <c r="B6" s="2" t="s">
        <v>62</v>
      </c>
      <c r="C6" s="32">
        <v>104485</v>
      </c>
      <c r="D6" s="3">
        <f t="shared" si="0"/>
        <v>0.20488259228393549</v>
      </c>
      <c r="E6" s="5">
        <v>1.23E-2</v>
      </c>
      <c r="F6" s="5">
        <v>3.8E-3</v>
      </c>
      <c r="G6" s="4">
        <v>0.69</v>
      </c>
      <c r="H6" s="2" t="s">
        <v>75</v>
      </c>
      <c r="J6" s="46" t="s">
        <v>161</v>
      </c>
      <c r="K6" s="47"/>
      <c r="L6" s="47"/>
      <c r="M6" s="47"/>
      <c r="N6" s="48"/>
    </row>
    <row r="7" spans="2:14" x14ac:dyDescent="0.3">
      <c r="B7" s="2" t="s">
        <v>63</v>
      </c>
      <c r="C7" s="32">
        <v>10559</v>
      </c>
      <c r="D7" s="3">
        <f t="shared" si="0"/>
        <v>2.0704936516495905E-2</v>
      </c>
      <c r="E7" s="5">
        <v>3.8999999999999998E-3</v>
      </c>
      <c r="F7" s="5">
        <v>5.0000000000000001E-4</v>
      </c>
      <c r="G7" s="4">
        <v>0.86</v>
      </c>
      <c r="H7" s="2" t="s">
        <v>76</v>
      </c>
      <c r="J7" s="46" t="s">
        <v>162</v>
      </c>
      <c r="K7" s="47"/>
      <c r="L7" s="47"/>
      <c r="M7" s="47"/>
      <c r="N7" s="48"/>
    </row>
    <row r="8" spans="2:14" x14ac:dyDescent="0.3">
      <c r="B8" s="2" t="s">
        <v>64</v>
      </c>
      <c r="C8" s="32">
        <v>25234</v>
      </c>
      <c r="D8" s="3">
        <f t="shared" si="0"/>
        <v>4.948085690475023E-2</v>
      </c>
      <c r="E8" s="5">
        <v>9.4000000000000004E-3</v>
      </c>
      <c r="F8" s="5">
        <v>1.1999999999999999E-3</v>
      </c>
      <c r="G8" s="4">
        <v>0.87</v>
      </c>
      <c r="H8" s="2" t="s">
        <v>77</v>
      </c>
      <c r="J8" s="49" t="s">
        <v>242</v>
      </c>
      <c r="K8" s="50"/>
      <c r="L8" s="50"/>
      <c r="M8" s="50"/>
      <c r="N8" s="51"/>
    </row>
    <row r="9" spans="2:14" x14ac:dyDescent="0.3">
      <c r="B9" s="2" t="s">
        <v>65</v>
      </c>
      <c r="C9" s="32">
        <v>2198</v>
      </c>
      <c r="D9" s="3">
        <f t="shared" si="0"/>
        <v>4.3100151968233739E-3</v>
      </c>
      <c r="E9" s="5">
        <v>5.4999999999999997E-3</v>
      </c>
      <c r="F9" s="5">
        <v>1E-3</v>
      </c>
      <c r="G9" s="4">
        <v>0.83</v>
      </c>
      <c r="H9" s="2" t="s">
        <v>78</v>
      </c>
    </row>
    <row r="10" spans="2:14" x14ac:dyDescent="0.3">
      <c r="B10" s="2" t="s">
        <v>66</v>
      </c>
      <c r="C10" s="32">
        <v>17831</v>
      </c>
      <c r="D10" s="3">
        <f t="shared" si="0"/>
        <v>3.4964459042109909E-2</v>
      </c>
      <c r="E10" s="5">
        <v>3.3E-3</v>
      </c>
      <c r="F10" s="5">
        <v>3.0999999999999999E-3</v>
      </c>
      <c r="G10" s="4">
        <v>0.05</v>
      </c>
      <c r="H10" s="2" t="s">
        <v>87</v>
      </c>
    </row>
    <row r="11" spans="2:14" x14ac:dyDescent="0.3">
      <c r="B11" s="2" t="s">
        <v>67</v>
      </c>
      <c r="C11" s="32">
        <v>51570</v>
      </c>
      <c r="D11" s="3">
        <f t="shared" si="0"/>
        <v>0.10112260404921809</v>
      </c>
      <c r="E11" s="5">
        <v>2.6499999999999999E-2</v>
      </c>
      <c r="F11" s="5">
        <v>0.01</v>
      </c>
      <c r="G11" s="4">
        <v>0.63</v>
      </c>
      <c r="H11" s="2" t="s">
        <v>88</v>
      </c>
    </row>
    <row r="12" spans="2:14" x14ac:dyDescent="0.3">
      <c r="B12" s="2" t="s">
        <v>68</v>
      </c>
      <c r="C12" s="32">
        <v>3881</v>
      </c>
      <c r="D12" s="3">
        <f t="shared" si="0"/>
        <v>7.6101769694592869E-3</v>
      </c>
      <c r="E12" s="5">
        <v>7.7999999999999996E-3</v>
      </c>
      <c r="F12" s="5">
        <v>4.1000000000000003E-3</v>
      </c>
      <c r="G12" s="4">
        <v>0.48</v>
      </c>
      <c r="H12" s="2" t="s">
        <v>79</v>
      </c>
    </row>
    <row r="13" spans="2:14" x14ac:dyDescent="0.3">
      <c r="B13" s="2" t="s">
        <v>69</v>
      </c>
      <c r="C13" s="32">
        <v>15011</v>
      </c>
      <c r="D13" s="3">
        <f t="shared" si="0"/>
        <v>2.9434776214520321E-2</v>
      </c>
      <c r="E13" s="5">
        <v>1.34E-2</v>
      </c>
      <c r="F13" s="5">
        <v>8.6E-3</v>
      </c>
      <c r="G13" s="4">
        <v>0.36</v>
      </c>
      <c r="H13" s="2" t="s">
        <v>80</v>
      </c>
    </row>
    <row r="14" spans="2:14" x14ac:dyDescent="0.3">
      <c r="B14" s="2" t="s">
        <v>70</v>
      </c>
      <c r="C14" s="32">
        <v>33839</v>
      </c>
      <c r="D14" s="3">
        <f t="shared" si="0"/>
        <v>6.6354233050639741E-2</v>
      </c>
      <c r="E14" s="5">
        <v>8.0000000000000004E-4</v>
      </c>
      <c r="F14" s="5">
        <v>4.0000000000000002E-4</v>
      </c>
      <c r="G14" s="4">
        <v>0.51</v>
      </c>
      <c r="H14" s="2" t="s">
        <v>81</v>
      </c>
    </row>
    <row r="15" spans="2:14" x14ac:dyDescent="0.3">
      <c r="B15" s="2" t="s">
        <v>71</v>
      </c>
      <c r="C15" s="32">
        <v>33247</v>
      </c>
      <c r="D15" s="3">
        <f t="shared" si="0"/>
        <v>6.519339183293299E-2</v>
      </c>
      <c r="E15" s="5">
        <v>2.0000000000000001E-4</v>
      </c>
      <c r="F15" s="5">
        <v>1E-4</v>
      </c>
      <c r="G15" s="4">
        <v>0.4</v>
      </c>
      <c r="H15" s="2" t="s">
        <v>82</v>
      </c>
    </row>
    <row r="16" spans="2:14" ht="15" thickBot="1" x14ac:dyDescent="0.35">
      <c r="B16" s="62" t="s">
        <v>72</v>
      </c>
      <c r="C16" s="63">
        <v>162077</v>
      </c>
      <c r="D16" s="64">
        <f t="shared" si="0"/>
        <v>0.31781361831462329</v>
      </c>
      <c r="E16" s="65">
        <v>5.4000000000000003E-3</v>
      </c>
      <c r="F16" s="65">
        <v>2.8E-3</v>
      </c>
      <c r="G16" s="66">
        <v>0.48</v>
      </c>
      <c r="H16" s="62" t="s">
        <v>83</v>
      </c>
    </row>
    <row r="17" spans="2:8" x14ac:dyDescent="0.3">
      <c r="B17" s="56" t="s">
        <v>73</v>
      </c>
      <c r="C17" s="57">
        <f>SUM(C3:C16)</f>
        <v>509975</v>
      </c>
      <c r="D17" s="58">
        <f>SUM(D3:D16)</f>
        <v>1</v>
      </c>
      <c r="E17" s="58"/>
      <c r="F17" s="59"/>
      <c r="G17" s="60"/>
      <c r="H17" s="61"/>
    </row>
    <row r="18" spans="2:8" x14ac:dyDescent="0.3">
      <c r="B18" s="41" t="s">
        <v>84</v>
      </c>
      <c r="C18" s="41"/>
      <c r="D18" s="41"/>
      <c r="E18" s="41"/>
      <c r="F18" s="41"/>
      <c r="G18" s="41"/>
      <c r="H18" s="41"/>
    </row>
  </sheetData>
  <mergeCells count="1">
    <mergeCell ref="B18:H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6672-4C38-40A1-8DCB-BE27029C6471}">
  <dimension ref="B2:T20"/>
  <sheetViews>
    <sheetView workbookViewId="0">
      <selection activeCell="I15" sqref="I15"/>
    </sheetView>
  </sheetViews>
  <sheetFormatPr defaultRowHeight="14.4" x14ac:dyDescent="0.3"/>
  <cols>
    <col min="2" max="2" width="23.21875" bestFit="1" customWidth="1"/>
    <col min="3" max="5" width="11.33203125" bestFit="1" customWidth="1"/>
    <col min="6" max="6" width="10.109375" customWidth="1"/>
    <col min="7" max="7" width="14.44140625" bestFit="1" customWidth="1"/>
    <col min="13" max="13" width="9.6640625" customWidth="1"/>
  </cols>
  <sheetData>
    <row r="2" spans="2:20" x14ac:dyDescent="0.3">
      <c r="B2" s="67" t="s">
        <v>89</v>
      </c>
      <c r="C2" s="67" t="s">
        <v>90</v>
      </c>
      <c r="D2" s="67" t="s">
        <v>91</v>
      </c>
      <c r="E2" s="67" t="s">
        <v>92</v>
      </c>
      <c r="F2" s="67" t="s">
        <v>93</v>
      </c>
      <c r="G2" s="67" t="s">
        <v>243</v>
      </c>
      <c r="I2" s="68" t="s">
        <v>111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5"/>
    </row>
    <row r="3" spans="2:20" x14ac:dyDescent="0.3">
      <c r="B3" s="2" t="s">
        <v>94</v>
      </c>
      <c r="C3" s="2">
        <v>29.6</v>
      </c>
      <c r="D3" s="2">
        <v>36.200000000000003</v>
      </c>
      <c r="E3" s="2">
        <v>43.4</v>
      </c>
      <c r="F3" s="2">
        <v>52.5</v>
      </c>
      <c r="G3" s="3">
        <v>0.21099999999999999</v>
      </c>
      <c r="I3" s="69" t="s">
        <v>229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8"/>
    </row>
    <row r="4" spans="2:20" x14ac:dyDescent="0.3">
      <c r="B4" s="2" t="s">
        <v>95</v>
      </c>
      <c r="C4" s="2">
        <v>69.099999999999994</v>
      </c>
      <c r="D4" s="2">
        <v>83.6</v>
      </c>
      <c r="E4" s="2">
        <v>101.8</v>
      </c>
      <c r="F4" s="2">
        <v>119.3</v>
      </c>
      <c r="G4" s="3">
        <v>0.2</v>
      </c>
      <c r="I4" s="69" t="s">
        <v>230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8"/>
    </row>
    <row r="5" spans="2:20" x14ac:dyDescent="0.3">
      <c r="B5" s="2" t="s">
        <v>2</v>
      </c>
      <c r="C5" s="32">
        <v>247379</v>
      </c>
      <c r="D5" s="32">
        <v>330615</v>
      </c>
      <c r="E5" s="32">
        <v>416661</v>
      </c>
      <c r="F5" s="32">
        <v>509975</v>
      </c>
      <c r="G5" s="3">
        <v>0.27300000000000002</v>
      </c>
      <c r="I5" s="70" t="s">
        <v>231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2:20" x14ac:dyDescent="0.3">
      <c r="B6" s="2" t="s">
        <v>96</v>
      </c>
      <c r="C6" s="32">
        <v>41418</v>
      </c>
      <c r="D6" s="32">
        <v>54983</v>
      </c>
      <c r="E6" s="32">
        <v>69725</v>
      </c>
      <c r="F6" s="32">
        <v>82789</v>
      </c>
      <c r="G6" s="3">
        <v>0.26</v>
      </c>
    </row>
    <row r="7" spans="2:20" x14ac:dyDescent="0.3">
      <c r="B7" s="2" t="s">
        <v>97</v>
      </c>
      <c r="C7" s="32">
        <v>12560</v>
      </c>
      <c r="D7" s="32">
        <v>18725</v>
      </c>
      <c r="E7" s="32">
        <v>24771</v>
      </c>
      <c r="F7" s="32">
        <v>28666</v>
      </c>
      <c r="G7" s="3">
        <v>0.317</v>
      </c>
      <c r="I7" s="68" t="s">
        <v>244</v>
      </c>
      <c r="J7" s="95"/>
      <c r="K7" s="95"/>
      <c r="L7" s="44"/>
      <c r="M7" s="45"/>
    </row>
    <row r="8" spans="2:20" x14ac:dyDescent="0.3">
      <c r="B8" s="2" t="s">
        <v>98</v>
      </c>
      <c r="C8" s="32">
        <v>28858</v>
      </c>
      <c r="D8" s="32">
        <v>36258</v>
      </c>
      <c r="E8" s="32">
        <v>44954</v>
      </c>
      <c r="F8" s="32">
        <v>53324</v>
      </c>
      <c r="G8" s="3">
        <v>0.23300000000000001</v>
      </c>
      <c r="I8" s="69" t="s">
        <v>245</v>
      </c>
      <c r="J8" s="47"/>
      <c r="K8" s="47"/>
      <c r="L8" s="47"/>
      <c r="M8" s="48"/>
    </row>
    <row r="9" spans="2:20" ht="15" thickBot="1" x14ac:dyDescent="0.35">
      <c r="B9" s="89" t="s">
        <v>99</v>
      </c>
      <c r="C9" s="90">
        <v>10142</v>
      </c>
      <c r="D9" s="90">
        <v>12325</v>
      </c>
      <c r="E9" s="90">
        <v>14296</v>
      </c>
      <c r="F9" s="90">
        <v>17776</v>
      </c>
      <c r="G9" s="91">
        <v>0.20600000000000002</v>
      </c>
      <c r="I9" s="69" t="s">
        <v>246</v>
      </c>
      <c r="J9" s="47"/>
      <c r="K9" s="47"/>
      <c r="L9" s="47"/>
      <c r="M9" s="48"/>
    </row>
    <row r="10" spans="2:20" ht="15" thickBot="1" x14ac:dyDescent="0.35">
      <c r="B10" s="92" t="s">
        <v>100</v>
      </c>
      <c r="C10" s="93">
        <v>3190</v>
      </c>
      <c r="D10" s="93">
        <v>4631</v>
      </c>
      <c r="E10" s="93">
        <v>7966</v>
      </c>
      <c r="F10" s="93">
        <v>9482</v>
      </c>
      <c r="G10" s="94">
        <v>0.47700000000000004</v>
      </c>
      <c r="I10" s="69" t="s">
        <v>247</v>
      </c>
      <c r="J10" s="47"/>
      <c r="K10" s="47"/>
      <c r="L10" s="47"/>
      <c r="M10" s="48"/>
    </row>
    <row r="11" spans="2:20" x14ac:dyDescent="0.3">
      <c r="B11" s="61" t="s">
        <v>101</v>
      </c>
      <c r="C11" s="57">
        <v>15528</v>
      </c>
      <c r="D11" s="57">
        <v>19310</v>
      </c>
      <c r="E11" s="57">
        <v>22080</v>
      </c>
      <c r="F11" s="57">
        <v>25817</v>
      </c>
      <c r="G11" s="58">
        <v>0.185</v>
      </c>
      <c r="I11" s="69" t="s">
        <v>248</v>
      </c>
      <c r="J11" s="47"/>
      <c r="K11" s="47"/>
      <c r="L11" s="47"/>
      <c r="M11" s="48"/>
    </row>
    <row r="12" spans="2:20" x14ac:dyDescent="0.3">
      <c r="B12" s="2" t="s">
        <v>102</v>
      </c>
      <c r="C12" s="32">
        <v>11508</v>
      </c>
      <c r="D12" s="32">
        <v>14451</v>
      </c>
      <c r="E12" s="32">
        <v>16779</v>
      </c>
      <c r="F12" s="32">
        <v>19332</v>
      </c>
      <c r="G12" s="3">
        <v>0.18899999999999997</v>
      </c>
      <c r="I12" s="70" t="s">
        <v>249</v>
      </c>
      <c r="J12" s="50"/>
      <c r="K12" s="50"/>
      <c r="L12" s="50"/>
      <c r="M12" s="51"/>
    </row>
    <row r="13" spans="2:20" x14ac:dyDescent="0.3">
      <c r="B13" s="2" t="s">
        <v>103</v>
      </c>
      <c r="C13" s="5">
        <v>0.35099999999999998</v>
      </c>
      <c r="D13" s="5">
        <v>0.34</v>
      </c>
      <c r="E13" s="5">
        <v>0.33200000000000002</v>
      </c>
      <c r="F13" s="5">
        <v>0.33800000000000002</v>
      </c>
      <c r="G13" s="4"/>
    </row>
    <row r="14" spans="2:20" x14ac:dyDescent="0.3">
      <c r="B14" s="2" t="s">
        <v>104</v>
      </c>
      <c r="C14" s="5">
        <v>1.47E-2</v>
      </c>
      <c r="D14" s="5">
        <v>1.6299999999999999E-2</v>
      </c>
      <c r="E14" s="5">
        <v>2.1700000000000001E-2</v>
      </c>
      <c r="F14" s="5">
        <v>2.2700000000000001E-2</v>
      </c>
      <c r="G14" s="4"/>
    </row>
    <row r="15" spans="2:20" x14ac:dyDescent="0.3">
      <c r="B15" s="2" t="s">
        <v>105</v>
      </c>
      <c r="C15" s="5">
        <v>5.2999999999999999E-2</v>
      </c>
      <c r="D15" s="5">
        <v>5.0999999999999997E-2</v>
      </c>
      <c r="E15" s="5">
        <v>4.5999999999999999E-2</v>
      </c>
      <c r="F15" s="5">
        <v>4.5999999999999999E-2</v>
      </c>
      <c r="G15" s="4"/>
    </row>
    <row r="16" spans="2:20" x14ac:dyDescent="0.3">
      <c r="B16" s="2" t="s">
        <v>106</v>
      </c>
      <c r="C16" s="5">
        <v>0.23499999999999999</v>
      </c>
      <c r="D16" s="5">
        <v>0.221</v>
      </c>
      <c r="E16" s="5">
        <v>0.192</v>
      </c>
      <c r="F16" s="5">
        <v>0.19700000000000001</v>
      </c>
      <c r="G16" s="4"/>
    </row>
    <row r="17" spans="2:7" x14ac:dyDescent="0.3">
      <c r="B17" s="2" t="s">
        <v>107</v>
      </c>
      <c r="C17" s="5">
        <v>3.3999999999999998E-3</v>
      </c>
      <c r="D17" s="5">
        <v>3.7000000000000002E-3</v>
      </c>
      <c r="E17" s="5">
        <v>4.4000000000000003E-3</v>
      </c>
      <c r="F17" s="5">
        <v>4.1000000000000003E-3</v>
      </c>
      <c r="G17" s="4"/>
    </row>
    <row r="18" spans="2:7" x14ac:dyDescent="0.3">
      <c r="B18" s="2" t="s">
        <v>108</v>
      </c>
      <c r="C18" s="5">
        <v>0.64</v>
      </c>
      <c r="D18" s="5">
        <v>0.56999999999999995</v>
      </c>
      <c r="E18" s="5">
        <v>0.54</v>
      </c>
      <c r="F18" s="5">
        <v>0.6</v>
      </c>
      <c r="G18" s="4"/>
    </row>
    <row r="19" spans="2:7" x14ac:dyDescent="0.3">
      <c r="B19" s="2" t="s">
        <v>109</v>
      </c>
      <c r="C19" s="5">
        <v>0.24970000000000001</v>
      </c>
      <c r="D19" s="5">
        <v>0.22520000000000001</v>
      </c>
      <c r="E19" s="5">
        <v>0.219</v>
      </c>
      <c r="F19" s="5">
        <v>0.2155</v>
      </c>
      <c r="G19" s="4"/>
    </row>
    <row r="20" spans="2:7" x14ac:dyDescent="0.3">
      <c r="B20" s="2" t="s">
        <v>110</v>
      </c>
      <c r="C20" s="9">
        <v>5.0999999999999996</v>
      </c>
      <c r="D20" s="2">
        <v>4.9000000000000004</v>
      </c>
      <c r="E20" s="9">
        <v>4.7</v>
      </c>
      <c r="F20" s="9">
        <v>4.8</v>
      </c>
      <c r="G20" s="4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1F076741-C6FF-40EF-84CD-167E6A463A9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Historical_Trends!C13:F13</xm:f>
              <xm:sqref>G13</xm:sqref>
            </x14:sparkline>
            <x14:sparkline>
              <xm:f>Historical_Trends!C14:F14</xm:f>
              <xm:sqref>G14</xm:sqref>
            </x14:sparkline>
            <x14:sparkline>
              <xm:f>Historical_Trends!C15:F15</xm:f>
              <xm:sqref>G15</xm:sqref>
            </x14:sparkline>
            <x14:sparkline>
              <xm:f>Historical_Trends!C16:F16</xm:f>
              <xm:sqref>G16</xm:sqref>
            </x14:sparkline>
            <x14:sparkline>
              <xm:f>Historical_Trends!C17:F17</xm:f>
              <xm:sqref>G17</xm:sqref>
            </x14:sparkline>
            <x14:sparkline>
              <xm:f>Historical_Trends!C18:F18</xm:f>
              <xm:sqref>G18</xm:sqref>
            </x14:sparkline>
            <x14:sparkline>
              <xm:f>Historical_Trends!C19:F19</xm:f>
              <xm:sqref>G19</xm:sqref>
            </x14:sparkline>
            <x14:sparkline>
              <xm:f>Historical_Trends!C20:F20</xm:f>
              <xm:sqref>G20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2881-8451-49A9-96C1-7DB4DB950F84}">
  <dimension ref="B2:O20"/>
  <sheetViews>
    <sheetView workbookViewId="0">
      <selection activeCell="H10" sqref="H10"/>
    </sheetView>
  </sheetViews>
  <sheetFormatPr defaultRowHeight="14.4" x14ac:dyDescent="0.3"/>
  <cols>
    <col min="2" max="2" width="21.5546875" bestFit="1" customWidth="1"/>
    <col min="3" max="4" width="14.5546875" customWidth="1"/>
    <col min="5" max="5" width="10.33203125" bestFit="1" customWidth="1"/>
    <col min="6" max="6" width="12.44140625" customWidth="1"/>
    <col min="8" max="8" width="14.5546875" customWidth="1"/>
    <col min="9" max="9" width="15.33203125" customWidth="1"/>
  </cols>
  <sheetData>
    <row r="2" spans="2:15" x14ac:dyDescent="0.3">
      <c r="B2" s="71" t="s">
        <v>89</v>
      </c>
      <c r="C2" s="71" t="s">
        <v>92</v>
      </c>
      <c r="D2" s="71" t="s">
        <v>93</v>
      </c>
      <c r="E2" s="67" t="s">
        <v>166</v>
      </c>
      <c r="F2" s="67" t="s">
        <v>167</v>
      </c>
      <c r="H2" s="67" t="s">
        <v>22</v>
      </c>
      <c r="I2" s="73" t="s">
        <v>171</v>
      </c>
      <c r="J2" s="74"/>
      <c r="K2" s="74"/>
      <c r="L2" s="74"/>
      <c r="M2" s="74"/>
      <c r="N2" s="74"/>
      <c r="O2" s="75"/>
    </row>
    <row r="3" spans="2:15" x14ac:dyDescent="0.3">
      <c r="B3" s="27" t="s">
        <v>94</v>
      </c>
      <c r="C3" s="27">
        <v>43.4</v>
      </c>
      <c r="D3" s="27">
        <v>52.5</v>
      </c>
      <c r="E3" s="11">
        <f>D3-C3</f>
        <v>9.1000000000000014</v>
      </c>
      <c r="F3" s="23">
        <f>(D3-C3)/C3</f>
        <v>0.20967741935483875</v>
      </c>
      <c r="H3" s="11" t="s">
        <v>172</v>
      </c>
      <c r="I3" s="76" t="s">
        <v>173</v>
      </c>
      <c r="J3" s="77"/>
      <c r="K3" s="77"/>
      <c r="L3" s="77"/>
      <c r="M3" s="77"/>
      <c r="N3" s="77"/>
      <c r="O3" s="78"/>
    </row>
    <row r="4" spans="2:15" x14ac:dyDescent="0.3">
      <c r="B4" s="27" t="s">
        <v>95</v>
      </c>
      <c r="C4" s="27">
        <v>101.8</v>
      </c>
      <c r="D4" s="27">
        <v>119.3</v>
      </c>
      <c r="E4" s="11">
        <f t="shared" ref="E4:E8" si="0">D4-C4</f>
        <v>17.5</v>
      </c>
      <c r="F4" s="23">
        <f t="shared" ref="F4:F12" si="1">(D4-C4)/C4</f>
        <v>0.17190569744597251</v>
      </c>
      <c r="H4" s="11" t="s">
        <v>26</v>
      </c>
      <c r="I4" s="76" t="s">
        <v>174</v>
      </c>
      <c r="J4" s="77"/>
      <c r="K4" s="77"/>
      <c r="L4" s="77"/>
      <c r="M4" s="77"/>
      <c r="N4" s="77"/>
      <c r="O4" s="78"/>
    </row>
    <row r="5" spans="2:15" x14ac:dyDescent="0.3">
      <c r="B5" s="27" t="s">
        <v>2</v>
      </c>
      <c r="C5" s="30">
        <v>416661</v>
      </c>
      <c r="D5" s="30">
        <v>509975</v>
      </c>
      <c r="E5" s="31">
        <f t="shared" si="0"/>
        <v>93314</v>
      </c>
      <c r="F5" s="23">
        <f t="shared" si="1"/>
        <v>0.22395664581038302</v>
      </c>
      <c r="H5" s="11" t="s">
        <v>175</v>
      </c>
      <c r="I5" s="76" t="s">
        <v>176</v>
      </c>
      <c r="J5" s="77"/>
      <c r="K5" s="77"/>
      <c r="L5" s="77"/>
      <c r="M5" s="77"/>
      <c r="N5" s="77"/>
      <c r="O5" s="78"/>
    </row>
    <row r="6" spans="2:15" x14ac:dyDescent="0.3">
      <c r="B6" s="27" t="s">
        <v>168</v>
      </c>
      <c r="C6" s="30">
        <v>69725</v>
      </c>
      <c r="D6" s="30">
        <v>82789</v>
      </c>
      <c r="E6" s="31">
        <f t="shared" si="0"/>
        <v>13064</v>
      </c>
      <c r="F6" s="23">
        <f t="shared" si="1"/>
        <v>0.18736464682681964</v>
      </c>
      <c r="H6" s="11" t="s">
        <v>177</v>
      </c>
      <c r="I6" s="42" t="s">
        <v>178</v>
      </c>
      <c r="J6" s="42"/>
      <c r="K6" s="42"/>
      <c r="L6" s="42"/>
      <c r="M6" s="42"/>
      <c r="N6" s="42"/>
      <c r="O6" s="42"/>
    </row>
    <row r="7" spans="2:15" x14ac:dyDescent="0.3">
      <c r="B7" s="27" t="s">
        <v>13</v>
      </c>
      <c r="C7" s="30">
        <v>44954</v>
      </c>
      <c r="D7" s="30">
        <v>53324</v>
      </c>
      <c r="E7" s="31">
        <f t="shared" si="0"/>
        <v>8370</v>
      </c>
      <c r="F7" s="23">
        <f t="shared" si="1"/>
        <v>0.18619032789073275</v>
      </c>
    </row>
    <row r="8" spans="2:15" x14ac:dyDescent="0.3">
      <c r="B8" s="27" t="s">
        <v>5</v>
      </c>
      <c r="C8" s="30">
        <v>16779</v>
      </c>
      <c r="D8" s="30">
        <v>19332</v>
      </c>
      <c r="E8" s="31">
        <f t="shared" si="0"/>
        <v>2553</v>
      </c>
      <c r="F8" s="23">
        <f t="shared" si="1"/>
        <v>0.15215447881280172</v>
      </c>
    </row>
    <row r="9" spans="2:15" x14ac:dyDescent="0.3">
      <c r="B9" s="27" t="s">
        <v>6</v>
      </c>
      <c r="C9" s="28">
        <v>4.5999999999999999E-2</v>
      </c>
      <c r="D9" s="28">
        <v>4.5999999999999999E-2</v>
      </c>
      <c r="E9" s="22">
        <f>D9-C9</f>
        <v>0</v>
      </c>
      <c r="F9" s="23">
        <f t="shared" si="1"/>
        <v>0</v>
      </c>
    </row>
    <row r="10" spans="2:15" x14ac:dyDescent="0.3">
      <c r="B10" s="27" t="s">
        <v>7</v>
      </c>
      <c r="C10" s="28">
        <v>0.192</v>
      </c>
      <c r="D10" s="28">
        <v>0.19700000000000001</v>
      </c>
      <c r="E10" s="22">
        <f t="shared" ref="E10:E12" si="2">D10-C10</f>
        <v>5.0000000000000044E-3</v>
      </c>
      <c r="F10" s="23">
        <f t="shared" si="1"/>
        <v>2.6041666666666689E-2</v>
      </c>
    </row>
    <row r="11" spans="2:15" x14ac:dyDescent="0.3">
      <c r="B11" s="27" t="s">
        <v>169</v>
      </c>
      <c r="C11" s="28">
        <v>4.4000000000000003E-3</v>
      </c>
      <c r="D11" s="28">
        <v>4.1000000000000003E-3</v>
      </c>
      <c r="E11" s="22">
        <f t="shared" si="2"/>
        <v>-2.9999999999999992E-4</v>
      </c>
      <c r="F11" s="23">
        <f t="shared" si="1"/>
        <v>-6.8181818181818163E-2</v>
      </c>
    </row>
    <row r="12" spans="2:15" x14ac:dyDescent="0.3">
      <c r="B12" s="27" t="s">
        <v>170</v>
      </c>
      <c r="C12" s="28">
        <v>0.219</v>
      </c>
      <c r="D12" s="28">
        <v>0.2155</v>
      </c>
      <c r="E12" s="22">
        <f t="shared" si="2"/>
        <v>-3.5000000000000031E-3</v>
      </c>
      <c r="F12" s="23">
        <f t="shared" si="1"/>
        <v>-1.5981735159817365E-2</v>
      </c>
    </row>
    <row r="14" spans="2:15" x14ac:dyDescent="0.3">
      <c r="B14" s="67" t="s">
        <v>89</v>
      </c>
      <c r="C14" s="67" t="s">
        <v>166</v>
      </c>
      <c r="D14" s="72" t="s">
        <v>179</v>
      </c>
      <c r="E14" s="72"/>
      <c r="F14" s="72"/>
    </row>
    <row r="15" spans="2:15" x14ac:dyDescent="0.3">
      <c r="B15" s="11" t="s">
        <v>117</v>
      </c>
      <c r="C15" s="1" t="s">
        <v>180</v>
      </c>
      <c r="D15" s="42" t="s">
        <v>181</v>
      </c>
      <c r="E15" s="42"/>
      <c r="F15" s="42"/>
    </row>
    <row r="16" spans="2:15" x14ac:dyDescent="0.3">
      <c r="B16" s="11" t="s">
        <v>96</v>
      </c>
      <c r="C16" s="1" t="s">
        <v>182</v>
      </c>
      <c r="D16" s="42" t="s">
        <v>183</v>
      </c>
      <c r="E16" s="42"/>
      <c r="F16" s="42"/>
    </row>
    <row r="17" spans="2:6" x14ac:dyDescent="0.3">
      <c r="B17" s="11" t="s">
        <v>119</v>
      </c>
      <c r="C17" s="1" t="s">
        <v>184</v>
      </c>
      <c r="D17" s="42" t="s">
        <v>185</v>
      </c>
      <c r="E17" s="42"/>
      <c r="F17" s="42"/>
    </row>
    <row r="18" spans="2:6" x14ac:dyDescent="0.3">
      <c r="B18" s="11" t="s">
        <v>121</v>
      </c>
      <c r="C18" s="1" t="s">
        <v>186</v>
      </c>
      <c r="D18" s="42" t="s">
        <v>187</v>
      </c>
      <c r="E18" s="42"/>
      <c r="F18" s="42"/>
    </row>
    <row r="19" spans="2:6" x14ac:dyDescent="0.3">
      <c r="B19" s="11" t="s">
        <v>188</v>
      </c>
      <c r="C19" s="29">
        <v>-2.9999999999999997E-4</v>
      </c>
      <c r="D19" s="42" t="s">
        <v>189</v>
      </c>
      <c r="E19" s="42"/>
      <c r="F19" s="42"/>
    </row>
    <row r="20" spans="2:6" x14ac:dyDescent="0.3">
      <c r="B20" s="11" t="s">
        <v>124</v>
      </c>
      <c r="C20" s="29">
        <v>-3.5000000000000001E-3</v>
      </c>
      <c r="D20" s="42" t="s">
        <v>190</v>
      </c>
      <c r="E20" s="42"/>
      <c r="F20" s="42"/>
    </row>
  </sheetData>
  <mergeCells count="12">
    <mergeCell ref="I2:O2"/>
    <mergeCell ref="D16:F16"/>
    <mergeCell ref="D17:F17"/>
    <mergeCell ref="D18:F18"/>
    <mergeCell ref="D19:F19"/>
    <mergeCell ref="D20:F20"/>
    <mergeCell ref="I3:O3"/>
    <mergeCell ref="D15:F15"/>
    <mergeCell ref="D14:F14"/>
    <mergeCell ref="I4:O4"/>
    <mergeCell ref="I5:O5"/>
    <mergeCell ref="I6:O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8873-C258-472A-B02F-ED2EC8D0D4D5}">
  <dimension ref="B2:T22"/>
  <sheetViews>
    <sheetView workbookViewId="0">
      <selection activeCell="F24" sqref="F24"/>
    </sheetView>
  </sheetViews>
  <sheetFormatPr defaultRowHeight="14.4" x14ac:dyDescent="0.3"/>
  <cols>
    <col min="2" max="2" width="31.6640625" bestFit="1" customWidth="1"/>
    <col min="3" max="9" width="11.33203125" bestFit="1" customWidth="1"/>
    <col min="11" max="11" width="19.33203125" customWidth="1"/>
    <col min="12" max="12" width="12.77734375" customWidth="1"/>
  </cols>
  <sheetData>
    <row r="2" spans="2:20" x14ac:dyDescent="0.3">
      <c r="B2" s="67" t="s">
        <v>89</v>
      </c>
      <c r="C2" s="67" t="s">
        <v>90</v>
      </c>
      <c r="D2" s="67" t="s">
        <v>91</v>
      </c>
      <c r="E2" s="67" t="s">
        <v>92</v>
      </c>
      <c r="F2" s="79" t="s">
        <v>93</v>
      </c>
      <c r="G2" s="80" t="s">
        <v>112</v>
      </c>
      <c r="H2" s="67" t="s">
        <v>113</v>
      </c>
      <c r="I2" s="67" t="s">
        <v>114</v>
      </c>
      <c r="K2" s="67" t="s">
        <v>125</v>
      </c>
      <c r="L2" s="67" t="s">
        <v>112</v>
      </c>
      <c r="M2" s="67" t="s">
        <v>113</v>
      </c>
      <c r="N2" s="67" t="s">
        <v>114</v>
      </c>
    </row>
    <row r="3" spans="2:20" x14ac:dyDescent="0.3">
      <c r="B3" s="11" t="s">
        <v>115</v>
      </c>
      <c r="C3" s="2">
        <f>Historical_Trends!C3</f>
        <v>29.6</v>
      </c>
      <c r="D3" s="2">
        <f>Historical_Trends!D3</f>
        <v>36.200000000000003</v>
      </c>
      <c r="E3" s="2">
        <f>Historical_Trends!E3</f>
        <v>43.4</v>
      </c>
      <c r="F3" s="14">
        <f>Historical_Trends!F3</f>
        <v>52.5</v>
      </c>
      <c r="G3" s="13">
        <f>F3*(1+$L$3)</f>
        <v>61.949999999999996</v>
      </c>
      <c r="H3" s="2">
        <f>G3*(1+$M$3)</f>
        <v>72.481499999999997</v>
      </c>
      <c r="I3" s="2">
        <f>H3*(1+$N$3)</f>
        <v>84.07853999999999</v>
      </c>
      <c r="K3" s="11" t="s">
        <v>126</v>
      </c>
      <c r="L3" s="21">
        <v>0.18</v>
      </c>
      <c r="M3" s="21">
        <v>0.17</v>
      </c>
      <c r="N3" s="21">
        <v>0.16</v>
      </c>
    </row>
    <row r="4" spans="2:20" x14ac:dyDescent="0.3">
      <c r="B4" s="11" t="s">
        <v>116</v>
      </c>
      <c r="C4" s="2">
        <f>Historical_Trends!C4</f>
        <v>69.099999999999994</v>
      </c>
      <c r="D4" s="2">
        <f>Historical_Trends!D4</f>
        <v>83.6</v>
      </c>
      <c r="E4" s="2">
        <f>Historical_Trends!E4</f>
        <v>101.8</v>
      </c>
      <c r="F4" s="14">
        <f>Historical_Trends!F4</f>
        <v>119.3</v>
      </c>
      <c r="G4" s="13">
        <f>F4*(1+L$4)</f>
        <v>136.00200000000001</v>
      </c>
      <c r="H4" s="2">
        <f>G4*(1+M$4)</f>
        <v>153.68225999999999</v>
      </c>
      <c r="I4" s="2">
        <f>H4*(1+N$4)</f>
        <v>172.12413119999999</v>
      </c>
      <c r="K4" s="11" t="s">
        <v>127</v>
      </c>
      <c r="L4" s="21">
        <v>0.14000000000000001</v>
      </c>
      <c r="M4" s="21">
        <v>0.13</v>
      </c>
      <c r="N4" s="21">
        <v>0.12</v>
      </c>
    </row>
    <row r="5" spans="2:20" x14ac:dyDescent="0.3">
      <c r="B5" s="11" t="s">
        <v>117</v>
      </c>
      <c r="C5" s="32">
        <f>Historical_Trends!C5</f>
        <v>247379</v>
      </c>
      <c r="D5" s="32">
        <f>Historical_Trends!D5</f>
        <v>330615</v>
      </c>
      <c r="E5" s="32">
        <f>Historical_Trends!E5</f>
        <v>416661</v>
      </c>
      <c r="F5" s="33">
        <f>Historical_Trends!F5</f>
        <v>509975</v>
      </c>
      <c r="G5" s="34">
        <f>F5*(1+L$5)</f>
        <v>606870.25</v>
      </c>
      <c r="H5" s="32">
        <f>G5*(1+M$5)</f>
        <v>716106.89500000002</v>
      </c>
      <c r="I5" s="32">
        <f>H5*(1+N$5)</f>
        <v>837845.06715000002</v>
      </c>
      <c r="K5" s="11" t="s">
        <v>128</v>
      </c>
      <c r="L5" s="21">
        <v>0.19</v>
      </c>
      <c r="M5" s="21">
        <v>0.18</v>
      </c>
      <c r="N5" s="21">
        <v>0.17</v>
      </c>
    </row>
    <row r="6" spans="2:20" x14ac:dyDescent="0.3">
      <c r="B6" s="11" t="s">
        <v>118</v>
      </c>
      <c r="C6" s="32">
        <f>Historical_Trends!C6</f>
        <v>41418</v>
      </c>
      <c r="D6" s="32">
        <f>Historical_Trends!D6</f>
        <v>54983</v>
      </c>
      <c r="E6" s="32">
        <f>Historical_Trends!E6</f>
        <v>69725</v>
      </c>
      <c r="F6" s="33">
        <f>Historical_Trends!F6</f>
        <v>82789</v>
      </c>
      <c r="G6" s="34">
        <f>G$5*L$6</f>
        <v>89816.796999999991</v>
      </c>
      <c r="H6" s="32">
        <f>H$5*M$6</f>
        <v>103835.49977499999</v>
      </c>
      <c r="I6" s="32">
        <f>I$5*N$6</f>
        <v>118973.9995353</v>
      </c>
      <c r="K6" s="11" t="s">
        <v>129</v>
      </c>
      <c r="L6" s="22">
        <v>0.14799999999999999</v>
      </c>
      <c r="M6" s="22">
        <v>0.14499999999999999</v>
      </c>
      <c r="N6" s="22">
        <v>0.14199999999999999</v>
      </c>
    </row>
    <row r="7" spans="2:20" x14ac:dyDescent="0.3">
      <c r="B7" s="11" t="s">
        <v>97</v>
      </c>
      <c r="C7" s="32">
        <f>Historical_Trends!C7</f>
        <v>12560</v>
      </c>
      <c r="D7" s="32">
        <f>Historical_Trends!D7</f>
        <v>18725</v>
      </c>
      <c r="E7" s="32">
        <f>Historical_Trends!E7</f>
        <v>24771</v>
      </c>
      <c r="F7" s="33">
        <f>Historical_Trends!F7</f>
        <v>28666</v>
      </c>
      <c r="G7" s="34">
        <f>G$5*L$7</f>
        <v>43694.657999999996</v>
      </c>
      <c r="H7" s="32">
        <f>H$5*M$7</f>
        <v>50127.482650000005</v>
      </c>
      <c r="I7" s="32">
        <f>I$5*N$7</f>
        <v>57811.309633350007</v>
      </c>
      <c r="K7" s="11" t="s">
        <v>51</v>
      </c>
      <c r="L7" s="22">
        <v>7.1999999999999995E-2</v>
      </c>
      <c r="M7" s="22">
        <v>7.0000000000000007E-2</v>
      </c>
      <c r="N7" s="22">
        <v>6.9000000000000006E-2</v>
      </c>
    </row>
    <row r="8" spans="2:20" x14ac:dyDescent="0.3">
      <c r="B8" s="11" t="s">
        <v>131</v>
      </c>
      <c r="C8" s="32">
        <f>C6-C7</f>
        <v>28858</v>
      </c>
      <c r="D8" s="32">
        <f t="shared" ref="D8:I8" si="0">D6-D7</f>
        <v>36258</v>
      </c>
      <c r="E8" s="32">
        <f t="shared" si="0"/>
        <v>44954</v>
      </c>
      <c r="F8" s="33">
        <f t="shared" si="0"/>
        <v>54123</v>
      </c>
      <c r="G8" s="34">
        <f t="shared" si="0"/>
        <v>46122.138999999996</v>
      </c>
      <c r="H8" s="32">
        <f t="shared" si="0"/>
        <v>53708.017124999984</v>
      </c>
      <c r="I8" s="32">
        <f t="shared" si="0"/>
        <v>61162.689901949991</v>
      </c>
      <c r="K8" s="11" t="s">
        <v>103</v>
      </c>
      <c r="L8" s="22">
        <v>0.33500000000000002</v>
      </c>
      <c r="M8" s="22">
        <v>0.33</v>
      </c>
      <c r="N8" s="22">
        <v>0.32500000000000001</v>
      </c>
    </row>
    <row r="9" spans="2:20" x14ac:dyDescent="0.3">
      <c r="B9" s="11" t="s">
        <v>119</v>
      </c>
      <c r="C9" s="32">
        <f>Historical_Trends!C8</f>
        <v>28858</v>
      </c>
      <c r="D9" s="32">
        <f>Historical_Trends!D8</f>
        <v>36258</v>
      </c>
      <c r="E9" s="32">
        <f>Historical_Trends!E8</f>
        <v>44954</v>
      </c>
      <c r="F9" s="33">
        <f>Historical_Trends!F8</f>
        <v>53324</v>
      </c>
      <c r="G9" s="34">
        <f>G8*1.21</f>
        <v>55807.788189999992</v>
      </c>
      <c r="H9" s="32">
        <f t="shared" ref="H9:I9" si="1">H8*1.21</f>
        <v>64986.700721249981</v>
      </c>
      <c r="I9" s="32">
        <f t="shared" si="1"/>
        <v>74006.854781359492</v>
      </c>
      <c r="K9" s="11" t="s">
        <v>10</v>
      </c>
      <c r="L9" s="22">
        <v>1.9E-2</v>
      </c>
      <c r="M9" s="22">
        <v>1.9E-2</v>
      </c>
      <c r="N9" s="22">
        <v>1.7999999999999999E-2</v>
      </c>
    </row>
    <row r="10" spans="2:20" x14ac:dyDescent="0.3">
      <c r="B10" s="11" t="s">
        <v>99</v>
      </c>
      <c r="C10" s="32">
        <f>Historical_Trends!C9</f>
        <v>10142</v>
      </c>
      <c r="D10" s="32">
        <f>Historical_Trends!D9</f>
        <v>12325</v>
      </c>
      <c r="E10" s="32">
        <f>Historical_Trends!E9</f>
        <v>14296</v>
      </c>
      <c r="F10" s="33">
        <f>Historical_Trends!F9</f>
        <v>17776</v>
      </c>
      <c r="G10" s="34">
        <f>G$9*L$8</f>
        <v>18695.609043649998</v>
      </c>
      <c r="H10" s="32">
        <f>H$9*M$8</f>
        <v>21445.611238012494</v>
      </c>
      <c r="I10" s="32">
        <f>I$9*N$8</f>
        <v>24052.227803941834</v>
      </c>
      <c r="K10" s="11" t="s">
        <v>130</v>
      </c>
      <c r="L10" s="22">
        <v>0.25</v>
      </c>
      <c r="M10" s="22">
        <v>0.25</v>
      </c>
      <c r="N10" s="22">
        <v>0.25</v>
      </c>
    </row>
    <row r="11" spans="2:20" x14ac:dyDescent="0.3">
      <c r="B11" s="2" t="s">
        <v>133</v>
      </c>
      <c r="C11" s="32">
        <f>C9-C10</f>
        <v>18716</v>
      </c>
      <c r="D11" s="32">
        <f t="shared" ref="D11:I11" si="2">D9-D10</f>
        <v>23933</v>
      </c>
      <c r="E11" s="32">
        <f t="shared" si="2"/>
        <v>30658</v>
      </c>
      <c r="F11" s="33">
        <f t="shared" si="2"/>
        <v>35548</v>
      </c>
      <c r="G11" s="34">
        <f t="shared" si="2"/>
        <v>37112.179146349998</v>
      </c>
      <c r="H11" s="32">
        <f t="shared" si="2"/>
        <v>43541.089483237491</v>
      </c>
      <c r="I11" s="32">
        <f t="shared" si="2"/>
        <v>49954.626977417662</v>
      </c>
      <c r="K11" s="96"/>
      <c r="L11" s="97"/>
      <c r="M11" s="97"/>
      <c r="N11" s="97"/>
    </row>
    <row r="12" spans="2:20" x14ac:dyDescent="0.3">
      <c r="B12" s="11" t="s">
        <v>100</v>
      </c>
      <c r="C12" s="32">
        <f>Historical_Trends!C10</f>
        <v>3190</v>
      </c>
      <c r="D12" s="32">
        <f>Historical_Trends!D10</f>
        <v>4631</v>
      </c>
      <c r="E12" s="32">
        <f>Historical_Trends!E10</f>
        <v>7966</v>
      </c>
      <c r="F12" s="33">
        <f>Historical_Trends!F10</f>
        <v>9482</v>
      </c>
      <c r="G12" s="34">
        <f>G5*L9</f>
        <v>11530.534749999999</v>
      </c>
      <c r="H12" s="34">
        <f t="shared" ref="H12:I12" si="3">H5*M9</f>
        <v>13606.031005000001</v>
      </c>
      <c r="I12" s="34">
        <f t="shared" si="3"/>
        <v>15081.211208699999</v>
      </c>
      <c r="K12" s="43" t="s">
        <v>132</v>
      </c>
      <c r="L12" s="44"/>
      <c r="M12" s="44"/>
      <c r="N12" s="44"/>
      <c r="O12" s="44"/>
      <c r="P12" s="44"/>
      <c r="Q12" s="44"/>
      <c r="R12" s="44"/>
      <c r="S12" s="44"/>
      <c r="T12" s="45"/>
    </row>
    <row r="13" spans="2:20" x14ac:dyDescent="0.3">
      <c r="B13" s="11" t="s">
        <v>120</v>
      </c>
      <c r="C13" s="32">
        <f>Historical_Trends!C11</f>
        <v>15528</v>
      </c>
      <c r="D13" s="32">
        <f>Historical_Trends!D11</f>
        <v>19310</v>
      </c>
      <c r="E13" s="32">
        <f>Historical_Trends!E11</f>
        <v>22080</v>
      </c>
      <c r="F13" s="33">
        <f>Historical_Trends!F11</f>
        <v>25817</v>
      </c>
      <c r="G13" s="34">
        <f>G11-G12</f>
        <v>25581.644396349999</v>
      </c>
      <c r="H13" s="34">
        <f t="shared" ref="H13:I13" si="4">H11-H12</f>
        <v>29935.05847823749</v>
      </c>
      <c r="I13" s="34">
        <f t="shared" si="4"/>
        <v>34873.415768717663</v>
      </c>
      <c r="K13" s="46" t="s">
        <v>232</v>
      </c>
      <c r="L13" s="47"/>
      <c r="M13" s="47"/>
      <c r="N13" s="47"/>
      <c r="O13" s="47"/>
      <c r="P13" s="47"/>
      <c r="Q13" s="47"/>
      <c r="R13" s="47"/>
      <c r="S13" s="47"/>
      <c r="T13" s="48"/>
    </row>
    <row r="14" spans="2:20" x14ac:dyDescent="0.3">
      <c r="B14" s="11" t="s">
        <v>121</v>
      </c>
      <c r="C14" s="32">
        <f>Historical_Trends!C12</f>
        <v>11508</v>
      </c>
      <c r="D14" s="32">
        <f>Historical_Trends!D12</f>
        <v>14451</v>
      </c>
      <c r="E14" s="32">
        <f>Historical_Trends!E12</f>
        <v>16779</v>
      </c>
      <c r="F14" s="33">
        <f>Historical_Trends!F12</f>
        <v>19332</v>
      </c>
      <c r="G14" s="34">
        <f>G13*(1-L$10)</f>
        <v>19186.233297262501</v>
      </c>
      <c r="H14" s="34">
        <f>H13*(1-M$10)</f>
        <v>22451.293858678117</v>
      </c>
      <c r="I14" s="34">
        <f>I13*(1-N$10)</f>
        <v>26155.061826538247</v>
      </c>
      <c r="K14" s="46" t="s">
        <v>233</v>
      </c>
      <c r="L14" s="47"/>
      <c r="M14" s="47"/>
      <c r="N14" s="47"/>
      <c r="O14" s="47"/>
      <c r="P14" s="47"/>
      <c r="Q14" s="47"/>
      <c r="R14" s="47"/>
      <c r="S14" s="47"/>
      <c r="T14" s="48"/>
    </row>
    <row r="15" spans="2:20" x14ac:dyDescent="0.3">
      <c r="B15" s="11" t="s">
        <v>103</v>
      </c>
      <c r="C15" s="5">
        <f>Historical_Trends!C13</f>
        <v>0.35099999999999998</v>
      </c>
      <c r="D15" s="5">
        <f>Historical_Trends!D13</f>
        <v>0.34</v>
      </c>
      <c r="E15" s="5">
        <f>Historical_Trends!E13</f>
        <v>0.33200000000000002</v>
      </c>
      <c r="F15" s="15">
        <f>Historical_Trends!F13</f>
        <v>0.33800000000000002</v>
      </c>
      <c r="G15" s="16">
        <f>G10/G9</f>
        <v>0.33500000000000002</v>
      </c>
      <c r="H15" s="16">
        <f t="shared" ref="H15:I15" si="5">H10/H9</f>
        <v>0.33</v>
      </c>
      <c r="I15" s="16">
        <f t="shared" si="5"/>
        <v>0.32500000000000001</v>
      </c>
      <c r="K15" s="46" t="s">
        <v>234</v>
      </c>
      <c r="L15" s="47"/>
      <c r="M15" s="47"/>
      <c r="N15" s="47"/>
      <c r="O15" s="47"/>
      <c r="P15" s="47"/>
      <c r="Q15" s="47"/>
      <c r="R15" s="47"/>
      <c r="S15" s="47"/>
      <c r="T15" s="48"/>
    </row>
    <row r="16" spans="2:20" x14ac:dyDescent="0.3">
      <c r="B16" s="11" t="s">
        <v>104</v>
      </c>
      <c r="C16" s="5">
        <f>Historical_Trends!C14</f>
        <v>1.47E-2</v>
      </c>
      <c r="D16" s="5">
        <f>Historical_Trends!D14</f>
        <v>1.6299999999999999E-2</v>
      </c>
      <c r="E16" s="5">
        <f>Historical_Trends!E14</f>
        <v>2.1700000000000001E-2</v>
      </c>
      <c r="F16" s="15">
        <f>Historical_Trends!F14</f>
        <v>2.2700000000000001E-2</v>
      </c>
      <c r="G16" s="16">
        <f>G12/G5</f>
        <v>1.9E-2</v>
      </c>
      <c r="H16" s="16">
        <f t="shared" ref="H16:I16" si="6">H12/H5</f>
        <v>1.9E-2</v>
      </c>
      <c r="I16" s="16">
        <f t="shared" si="6"/>
        <v>1.7999999999999999E-2</v>
      </c>
      <c r="K16" s="46" t="s">
        <v>235</v>
      </c>
      <c r="L16" s="47"/>
      <c r="M16" s="47"/>
      <c r="N16" s="47"/>
      <c r="O16" s="47"/>
      <c r="P16" s="47"/>
      <c r="Q16" s="47"/>
      <c r="R16" s="47"/>
      <c r="S16" s="47"/>
      <c r="T16" s="48"/>
    </row>
    <row r="17" spans="2:20" x14ac:dyDescent="0.3">
      <c r="B17" s="11" t="s">
        <v>122</v>
      </c>
      <c r="C17" s="5">
        <f>Historical_Trends!C15</f>
        <v>5.2999999999999999E-2</v>
      </c>
      <c r="D17" s="5">
        <f>Historical_Trends!D15</f>
        <v>5.0999999999999997E-2</v>
      </c>
      <c r="E17" s="5">
        <f>Historical_Trends!E15</f>
        <v>4.5999999999999999E-2</v>
      </c>
      <c r="F17" s="15">
        <v>4.5999999999999999E-2</v>
      </c>
      <c r="G17" s="16">
        <f>G14/G5</f>
        <v>3.1615049999999999E-2</v>
      </c>
      <c r="H17" s="16">
        <f t="shared" ref="H17:I17" si="7">H14/H5</f>
        <v>3.1351874999999987E-2</v>
      </c>
      <c r="I17" s="16">
        <f t="shared" si="7"/>
        <v>3.12170625E-2</v>
      </c>
      <c r="K17" s="69" t="s">
        <v>251</v>
      </c>
      <c r="L17" s="47"/>
      <c r="M17" s="47"/>
      <c r="N17" s="47"/>
      <c r="O17" s="47"/>
      <c r="P17" s="47"/>
      <c r="Q17" s="47"/>
      <c r="R17" s="47"/>
      <c r="S17" s="47"/>
      <c r="T17" s="48"/>
    </row>
    <row r="18" spans="2:20" x14ac:dyDescent="0.3">
      <c r="B18" s="11" t="s">
        <v>123</v>
      </c>
      <c r="C18" s="5">
        <f>Historical_Trends!C16</f>
        <v>0.23499999999999999</v>
      </c>
      <c r="D18" s="5">
        <f>Historical_Trends!D16</f>
        <v>0.221</v>
      </c>
      <c r="E18" s="5">
        <f>Historical_Trends!E16</f>
        <v>0.192</v>
      </c>
      <c r="F18" s="15">
        <v>0.19700000000000001</v>
      </c>
      <c r="G18" s="16">
        <f>G14/(G5/G22)</f>
        <v>0.15807525</v>
      </c>
      <c r="H18" s="16">
        <f t="shared" ref="H18:I18" si="8">H14/(H5/H22)</f>
        <v>0.16302974999999995</v>
      </c>
      <c r="I18" s="16">
        <f t="shared" si="8"/>
        <v>0.16857213750000002</v>
      </c>
      <c r="K18" s="69" t="s">
        <v>236</v>
      </c>
      <c r="L18" s="47"/>
      <c r="M18" s="47"/>
      <c r="N18" s="47"/>
      <c r="O18" s="47"/>
      <c r="P18" s="47"/>
      <c r="Q18" s="47"/>
      <c r="R18" s="47"/>
      <c r="S18" s="47"/>
      <c r="T18" s="48"/>
    </row>
    <row r="19" spans="2:20" x14ac:dyDescent="0.3">
      <c r="B19" s="11" t="s">
        <v>107</v>
      </c>
      <c r="C19" s="5">
        <f>Historical_Trends!C17</f>
        <v>3.3999999999999998E-3</v>
      </c>
      <c r="D19" s="5">
        <f>Historical_Trends!D17</f>
        <v>3.7000000000000002E-3</v>
      </c>
      <c r="E19" s="5">
        <f>Historical_Trends!E17</f>
        <v>4.4000000000000003E-3</v>
      </c>
      <c r="F19" s="15">
        <f>Historical_Trends!F17</f>
        <v>4.1000000000000003E-3</v>
      </c>
      <c r="G19" s="17">
        <v>4.1999999999999997E-3</v>
      </c>
      <c r="H19" s="3">
        <v>4.3E-3</v>
      </c>
      <c r="I19" s="3">
        <v>4.4000000000000003E-3</v>
      </c>
      <c r="K19" s="69" t="s">
        <v>237</v>
      </c>
      <c r="L19" s="47"/>
      <c r="M19" s="47"/>
      <c r="N19" s="47"/>
      <c r="O19" s="47"/>
      <c r="P19" s="47"/>
      <c r="Q19" s="47"/>
      <c r="R19" s="47"/>
      <c r="S19" s="47"/>
      <c r="T19" s="48"/>
    </row>
    <row r="20" spans="2:20" x14ac:dyDescent="0.3">
      <c r="B20" s="11" t="s">
        <v>108</v>
      </c>
      <c r="C20" s="5">
        <f>Historical_Trends!C18</f>
        <v>0.64</v>
      </c>
      <c r="D20" s="5">
        <f>Historical_Trends!D18</f>
        <v>0.56999999999999995</v>
      </c>
      <c r="E20" s="5">
        <f>Historical_Trends!E18</f>
        <v>0.54</v>
      </c>
      <c r="F20" s="15">
        <f>Historical_Trends!F18</f>
        <v>0.6</v>
      </c>
      <c r="G20" s="18">
        <v>0.61</v>
      </c>
      <c r="H20" s="6">
        <v>0.62</v>
      </c>
      <c r="I20" s="6">
        <v>0.63</v>
      </c>
      <c r="K20" s="69" t="s">
        <v>238</v>
      </c>
      <c r="L20" s="47"/>
      <c r="M20" s="47"/>
      <c r="N20" s="47"/>
      <c r="O20" s="47"/>
      <c r="P20" s="47"/>
      <c r="Q20" s="47"/>
      <c r="R20" s="47"/>
      <c r="S20" s="47"/>
      <c r="T20" s="48"/>
    </row>
    <row r="21" spans="2:20" x14ac:dyDescent="0.3">
      <c r="B21" s="11" t="s">
        <v>124</v>
      </c>
      <c r="C21" s="5">
        <f>Historical_Trends!C19</f>
        <v>0.24970000000000001</v>
      </c>
      <c r="D21" s="5">
        <f>Historical_Trends!D19</f>
        <v>0.22520000000000001</v>
      </c>
      <c r="E21" s="5">
        <f>Historical_Trends!E19</f>
        <v>0.219</v>
      </c>
      <c r="F21" s="15">
        <f>Historical_Trends!F19</f>
        <v>0.2155</v>
      </c>
      <c r="G21" s="17">
        <v>0.21</v>
      </c>
      <c r="H21" s="3">
        <v>0.20499999999999999</v>
      </c>
      <c r="I21" s="3">
        <v>0.2</v>
      </c>
      <c r="K21" s="70" t="s">
        <v>239</v>
      </c>
      <c r="L21" s="50"/>
      <c r="M21" s="50"/>
      <c r="N21" s="50"/>
      <c r="O21" s="50"/>
      <c r="P21" s="50"/>
      <c r="Q21" s="50"/>
      <c r="R21" s="50"/>
      <c r="S21" s="50"/>
      <c r="T21" s="51"/>
    </row>
    <row r="22" spans="2:20" x14ac:dyDescent="0.3">
      <c r="B22" s="11" t="s">
        <v>110</v>
      </c>
      <c r="C22" s="2">
        <f>Historical_Trends!C20</f>
        <v>5.0999999999999996</v>
      </c>
      <c r="D22" s="2">
        <f>Historical_Trends!D20</f>
        <v>4.9000000000000004</v>
      </c>
      <c r="E22" s="2">
        <f>Historical_Trends!E20</f>
        <v>4.7</v>
      </c>
      <c r="F22" s="14">
        <f>Historical_Trends!F20</f>
        <v>4.8</v>
      </c>
      <c r="G22" s="19">
        <v>5</v>
      </c>
      <c r="H22" s="20">
        <v>5.2</v>
      </c>
      <c r="I22" s="20">
        <v>5.4</v>
      </c>
    </row>
  </sheetData>
  <pageMargins left="0.7" right="0.7" top="0.75" bottom="0.75" header="0.3" footer="0.3"/>
  <ignoredErrors>
    <ignoredError sqref="G12:I1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8B9D-5449-4C27-82EA-BF78642AE2C3}">
  <dimension ref="B2:U27"/>
  <sheetViews>
    <sheetView workbookViewId="0">
      <selection activeCell="G8" sqref="G8"/>
    </sheetView>
  </sheetViews>
  <sheetFormatPr defaultRowHeight="14.4" x14ac:dyDescent="0.3"/>
  <cols>
    <col min="2" max="2" width="17.5546875" bestFit="1" customWidth="1"/>
    <col min="3" max="3" width="16.109375" customWidth="1"/>
    <col min="4" max="5" width="11.33203125" bestFit="1" customWidth="1"/>
    <col min="21" max="21" width="9.88671875" customWidth="1"/>
  </cols>
  <sheetData>
    <row r="2" spans="2:21" x14ac:dyDescent="0.3">
      <c r="B2" s="53" t="s">
        <v>125</v>
      </c>
      <c r="C2" s="53" t="s">
        <v>134</v>
      </c>
      <c r="D2" s="53" t="s">
        <v>135</v>
      </c>
      <c r="E2" s="53" t="s">
        <v>136</v>
      </c>
      <c r="G2" s="43" t="s">
        <v>250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5"/>
      <c r="U2" s="82"/>
    </row>
    <row r="3" spans="2:21" x14ac:dyDescent="0.3">
      <c r="B3" s="11" t="s">
        <v>126</v>
      </c>
      <c r="C3" s="21">
        <v>0.22</v>
      </c>
      <c r="D3" s="21">
        <v>0.18</v>
      </c>
      <c r="E3" s="21">
        <v>0.12</v>
      </c>
      <c r="G3" s="70" t="s">
        <v>254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1"/>
      <c r="U3" s="82"/>
    </row>
    <row r="4" spans="2:21" x14ac:dyDescent="0.3">
      <c r="B4" s="11" t="s">
        <v>127</v>
      </c>
      <c r="C4" s="21">
        <v>0.16</v>
      </c>
      <c r="D4" s="21">
        <v>0.14000000000000001</v>
      </c>
      <c r="E4" s="21">
        <v>0.09</v>
      </c>
    </row>
    <row r="5" spans="2:21" x14ac:dyDescent="0.3">
      <c r="B5" s="11" t="s">
        <v>128</v>
      </c>
      <c r="C5" s="21">
        <v>0.22</v>
      </c>
      <c r="D5" s="21">
        <v>0.19</v>
      </c>
      <c r="E5" s="21">
        <v>0.13</v>
      </c>
    </row>
    <row r="6" spans="2:21" x14ac:dyDescent="0.3">
      <c r="B6" s="11" t="s">
        <v>129</v>
      </c>
      <c r="C6" s="22">
        <v>0.152</v>
      </c>
      <c r="D6" s="22">
        <v>0.14799999999999999</v>
      </c>
      <c r="E6" s="22">
        <v>0.13800000000000001</v>
      </c>
    </row>
    <row r="7" spans="2:21" x14ac:dyDescent="0.3">
      <c r="B7" s="11" t="s">
        <v>51</v>
      </c>
      <c r="C7" s="22">
        <v>6.8000000000000005E-2</v>
      </c>
      <c r="D7" s="22">
        <v>7.1999999999999995E-2</v>
      </c>
      <c r="E7" s="21">
        <v>0.08</v>
      </c>
    </row>
    <row r="8" spans="2:21" x14ac:dyDescent="0.3">
      <c r="B8" s="11" t="s">
        <v>103</v>
      </c>
      <c r="C8" s="21">
        <v>0.32</v>
      </c>
      <c r="D8" s="22">
        <v>0.33500000000000002</v>
      </c>
      <c r="E8" s="21">
        <v>0.36</v>
      </c>
    </row>
    <row r="9" spans="2:21" x14ac:dyDescent="0.3">
      <c r="B9" s="11" t="s">
        <v>10</v>
      </c>
      <c r="C9" s="22">
        <v>1.6E-2</v>
      </c>
      <c r="D9" s="22">
        <v>1.9E-2</v>
      </c>
      <c r="E9" s="22">
        <v>2.5999999999999999E-2</v>
      </c>
    </row>
    <row r="10" spans="2:21" x14ac:dyDescent="0.3">
      <c r="B10" s="11" t="s">
        <v>130</v>
      </c>
      <c r="C10" s="21">
        <v>0.25</v>
      </c>
      <c r="D10" s="21">
        <v>0.25</v>
      </c>
      <c r="E10" s="21">
        <v>0.25</v>
      </c>
    </row>
    <row r="12" spans="2:21" x14ac:dyDescent="0.3">
      <c r="B12" s="53" t="s">
        <v>137</v>
      </c>
      <c r="C12" s="53" t="s">
        <v>134</v>
      </c>
      <c r="D12" s="53" t="s">
        <v>135</v>
      </c>
      <c r="E12" s="53" t="s">
        <v>136</v>
      </c>
    </row>
    <row r="13" spans="2:21" x14ac:dyDescent="0.3">
      <c r="B13" s="11" t="s">
        <v>138</v>
      </c>
      <c r="C13" s="32">
        <f>D13*1.12</f>
        <v>21488.581292934003</v>
      </c>
      <c r="D13" s="31">
        <f>Forecast_Model!G14</f>
        <v>19186.233297262501</v>
      </c>
      <c r="E13" s="31">
        <f>D13*0.82</f>
        <v>15732.71130375525</v>
      </c>
    </row>
    <row r="14" spans="2:21" x14ac:dyDescent="0.3">
      <c r="B14" s="11" t="s">
        <v>139</v>
      </c>
      <c r="C14" s="23">
        <f>D14+0.35%</f>
        <v>3.5115049999999995E-2</v>
      </c>
      <c r="D14" s="22">
        <f>Forecast_Model!G17</f>
        <v>3.1615049999999999E-2</v>
      </c>
      <c r="E14" s="23">
        <f>D14-0.45%</f>
        <v>2.7115049999999998E-2</v>
      </c>
    </row>
    <row r="15" spans="2:21" x14ac:dyDescent="0.3">
      <c r="B15" s="11" t="s">
        <v>140</v>
      </c>
      <c r="C15" s="23">
        <f>D15+2%</f>
        <v>0.17807524999999999</v>
      </c>
      <c r="D15" s="22">
        <f>Forecast_Model!G18</f>
        <v>0.15807525</v>
      </c>
      <c r="E15" s="23">
        <f>D15-3%</f>
        <v>0.12807525</v>
      </c>
    </row>
    <row r="16" spans="2:21" x14ac:dyDescent="0.3">
      <c r="B16" s="11" t="s">
        <v>141</v>
      </c>
      <c r="C16" s="31">
        <f>D16*1.1</f>
        <v>28139.808835985001</v>
      </c>
      <c r="D16" s="31">
        <f>Forecast_Model!G13</f>
        <v>25581.644396349999</v>
      </c>
      <c r="E16" s="31">
        <f>D16*0.84</f>
        <v>21488.581292933999</v>
      </c>
    </row>
    <row r="17" spans="2:5" x14ac:dyDescent="0.3">
      <c r="B17" s="11" t="s">
        <v>142</v>
      </c>
      <c r="C17" s="31">
        <f>509975*(1+C5)</f>
        <v>622169.5</v>
      </c>
      <c r="D17" s="31">
        <f>Forecast_Model!G5</f>
        <v>606870.25</v>
      </c>
      <c r="E17" s="31">
        <f>509975*(1+E5)</f>
        <v>576271.75</v>
      </c>
    </row>
    <row r="19" spans="2:5" x14ac:dyDescent="0.3">
      <c r="B19" s="53" t="s">
        <v>89</v>
      </c>
      <c r="C19" s="53" t="s">
        <v>252</v>
      </c>
    </row>
    <row r="20" spans="2:5" x14ac:dyDescent="0.3">
      <c r="B20" s="11" t="s">
        <v>163</v>
      </c>
      <c r="C20" s="22">
        <v>0.12</v>
      </c>
    </row>
    <row r="21" spans="2:5" x14ac:dyDescent="0.3">
      <c r="B21" s="11" t="s">
        <v>164</v>
      </c>
      <c r="C21" s="22">
        <v>0.1</v>
      </c>
    </row>
    <row r="22" spans="2:5" x14ac:dyDescent="0.3">
      <c r="B22" s="11" t="s">
        <v>165</v>
      </c>
      <c r="C22" s="22">
        <v>2.5000000000000001E-2</v>
      </c>
    </row>
    <row r="24" spans="2:5" x14ac:dyDescent="0.3">
      <c r="B24" s="53" t="s">
        <v>89</v>
      </c>
      <c r="C24" s="53" t="s">
        <v>253</v>
      </c>
    </row>
    <row r="25" spans="2:5" x14ac:dyDescent="0.3">
      <c r="B25" s="11" t="s">
        <v>163</v>
      </c>
      <c r="C25" s="22">
        <v>-0.18</v>
      </c>
    </row>
    <row r="26" spans="2:5" x14ac:dyDescent="0.3">
      <c r="B26" s="11" t="s">
        <v>164</v>
      </c>
      <c r="C26" s="22">
        <v>-0.16</v>
      </c>
    </row>
    <row r="27" spans="2:5" x14ac:dyDescent="0.3">
      <c r="B27" s="11" t="s">
        <v>165</v>
      </c>
      <c r="C27" s="22">
        <v>-0.05</v>
      </c>
    </row>
  </sheetData>
  <pageMargins left="0.7" right="0.7" top="0.75" bottom="0.75" header="0.3" footer="0.3"/>
  <ignoredErrors>
    <ignoredError sqref="D1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341B-B603-4266-AE26-811355AD40AC}">
  <dimension ref="B3:F13"/>
  <sheetViews>
    <sheetView topLeftCell="A4" zoomScale="80" zoomScaleNormal="80" workbookViewId="0">
      <selection activeCell="F11" sqref="F11"/>
    </sheetView>
  </sheetViews>
  <sheetFormatPr defaultRowHeight="14.4" x14ac:dyDescent="0.3"/>
  <cols>
    <col min="3" max="3" width="17.5546875" bestFit="1" customWidth="1"/>
    <col min="4" max="4" width="19.88671875" customWidth="1"/>
    <col min="5" max="5" width="18.33203125" customWidth="1"/>
    <col min="6" max="6" width="25.77734375" customWidth="1"/>
  </cols>
  <sheetData>
    <row r="3" spans="2:6" x14ac:dyDescent="0.3">
      <c r="B3" s="53" t="s">
        <v>0</v>
      </c>
      <c r="C3" s="53" t="s">
        <v>21</v>
      </c>
      <c r="D3" s="53" t="s">
        <v>22</v>
      </c>
      <c r="E3" s="53" t="s">
        <v>23</v>
      </c>
      <c r="F3" s="53" t="s">
        <v>24</v>
      </c>
    </row>
    <row r="4" spans="2:6" ht="43.2" x14ac:dyDescent="0.3">
      <c r="B4" s="7" t="s">
        <v>1</v>
      </c>
      <c r="C4" s="7" t="s">
        <v>25</v>
      </c>
      <c r="D4" s="8" t="s">
        <v>42</v>
      </c>
      <c r="E4" s="8" t="s">
        <v>43</v>
      </c>
      <c r="F4" s="8" t="s">
        <v>44</v>
      </c>
    </row>
    <row r="5" spans="2:6" ht="72" x14ac:dyDescent="0.3">
      <c r="B5" s="7" t="s">
        <v>1</v>
      </c>
      <c r="C5" s="7" t="s">
        <v>26</v>
      </c>
      <c r="D5" s="8" t="s">
        <v>40</v>
      </c>
      <c r="E5" s="8" t="s">
        <v>27</v>
      </c>
      <c r="F5" s="8" t="s">
        <v>28</v>
      </c>
    </row>
    <row r="6" spans="2:6" ht="72" x14ac:dyDescent="0.3">
      <c r="B6" s="7" t="s">
        <v>1</v>
      </c>
      <c r="C6" s="7" t="s">
        <v>29</v>
      </c>
      <c r="D6" s="8" t="s">
        <v>30</v>
      </c>
      <c r="E6" s="8" t="s">
        <v>31</v>
      </c>
      <c r="F6" s="8" t="s">
        <v>32</v>
      </c>
    </row>
    <row r="7" spans="2:6" ht="72" x14ac:dyDescent="0.3">
      <c r="B7" s="7" t="s">
        <v>1</v>
      </c>
      <c r="C7" s="7" t="s">
        <v>33</v>
      </c>
      <c r="D7" s="8" t="s">
        <v>35</v>
      </c>
      <c r="E7" s="8" t="s">
        <v>36</v>
      </c>
      <c r="F7" s="8" t="s">
        <v>37</v>
      </c>
    </row>
    <row r="8" spans="2:6" ht="86.4" x14ac:dyDescent="0.3">
      <c r="B8" s="7" t="s">
        <v>1</v>
      </c>
      <c r="C8" s="7" t="s">
        <v>34</v>
      </c>
      <c r="D8" s="8" t="s">
        <v>38</v>
      </c>
      <c r="E8" s="8" t="s">
        <v>39</v>
      </c>
      <c r="F8" s="8" t="s">
        <v>41</v>
      </c>
    </row>
    <row r="10" spans="2:6" x14ac:dyDescent="0.3">
      <c r="B10" s="98" t="s">
        <v>255</v>
      </c>
      <c r="C10" s="99"/>
      <c r="D10" s="99"/>
      <c r="E10" s="100"/>
    </row>
    <row r="11" spans="2:6" x14ac:dyDescent="0.3">
      <c r="B11" s="101" t="s">
        <v>256</v>
      </c>
      <c r="C11" s="102"/>
      <c r="D11" s="102"/>
      <c r="E11" s="103"/>
    </row>
    <row r="12" spans="2:6" x14ac:dyDescent="0.3">
      <c r="B12" s="101" t="s">
        <v>257</v>
      </c>
      <c r="C12" s="102"/>
      <c r="D12" s="102"/>
      <c r="E12" s="103"/>
    </row>
    <row r="13" spans="2:6" x14ac:dyDescent="0.3">
      <c r="B13" s="104" t="s">
        <v>258</v>
      </c>
      <c r="C13" s="105"/>
      <c r="D13" s="105"/>
      <c r="E13" s="10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3F2-5EDD-4BBA-AAF6-3C401F673B4A}">
  <dimension ref="B2:F23"/>
  <sheetViews>
    <sheetView workbookViewId="0">
      <selection activeCell="E6" sqref="E6"/>
    </sheetView>
  </sheetViews>
  <sheetFormatPr defaultRowHeight="14.4" x14ac:dyDescent="0.3"/>
  <cols>
    <col min="2" max="2" width="18.21875" bestFit="1" customWidth="1"/>
    <col min="3" max="3" width="11.44140625" bestFit="1" customWidth="1"/>
    <col min="4" max="4" width="10.33203125" bestFit="1" customWidth="1"/>
  </cols>
  <sheetData>
    <row r="2" spans="2:6" x14ac:dyDescent="0.3">
      <c r="B2" s="10" t="s">
        <v>196</v>
      </c>
    </row>
    <row r="3" spans="2:6" x14ac:dyDescent="0.3">
      <c r="B3" s="53" t="s">
        <v>191</v>
      </c>
      <c r="C3" s="53" t="s">
        <v>144</v>
      </c>
    </row>
    <row r="4" spans="2:6" x14ac:dyDescent="0.3">
      <c r="B4" s="11" t="s">
        <v>2</v>
      </c>
      <c r="C4" s="31">
        <f>Historical_Trends!F5</f>
        <v>509975</v>
      </c>
    </row>
    <row r="5" spans="2:6" x14ac:dyDescent="0.3">
      <c r="B5" s="11" t="s">
        <v>192</v>
      </c>
      <c r="C5" s="11">
        <f>Historical_Trends!F4</f>
        <v>119.3</v>
      </c>
    </row>
    <row r="6" spans="2:6" x14ac:dyDescent="0.3">
      <c r="B6" s="11" t="s">
        <v>5</v>
      </c>
      <c r="C6" s="31">
        <f>Historical_Trends!F12</f>
        <v>19332</v>
      </c>
    </row>
    <row r="7" spans="2:6" x14ac:dyDescent="0.3">
      <c r="B7" s="11" t="s">
        <v>6</v>
      </c>
      <c r="C7" s="22">
        <f>Historical_Trends!F15</f>
        <v>4.5999999999999999E-2</v>
      </c>
    </row>
    <row r="8" spans="2:6" x14ac:dyDescent="0.3">
      <c r="B8" s="11" t="s">
        <v>7</v>
      </c>
      <c r="C8" s="22">
        <f>Historical_Trends!F16</f>
        <v>0.19700000000000001</v>
      </c>
    </row>
    <row r="9" spans="2:6" x14ac:dyDescent="0.3">
      <c r="B9" s="11" t="s">
        <v>169</v>
      </c>
      <c r="C9" s="22">
        <f>Historical_Trends!F17</f>
        <v>4.1000000000000003E-3</v>
      </c>
    </row>
    <row r="10" spans="2:6" x14ac:dyDescent="0.3">
      <c r="B10" s="11" t="s">
        <v>170</v>
      </c>
      <c r="C10" s="22">
        <f>Historical_Trends!F19</f>
        <v>0.2155</v>
      </c>
    </row>
    <row r="12" spans="2:6" x14ac:dyDescent="0.3">
      <c r="B12" s="10" t="s">
        <v>195</v>
      </c>
    </row>
    <row r="13" spans="2:6" x14ac:dyDescent="0.3">
      <c r="B13" s="53" t="s">
        <v>193</v>
      </c>
      <c r="C13" s="53" t="s">
        <v>117</v>
      </c>
      <c r="D13" s="53" t="s">
        <v>121</v>
      </c>
      <c r="E13" s="53" t="s">
        <v>122</v>
      </c>
      <c r="F13" s="53" t="s">
        <v>123</v>
      </c>
    </row>
    <row r="14" spans="2:6" x14ac:dyDescent="0.3">
      <c r="B14" s="11" t="s">
        <v>90</v>
      </c>
      <c r="C14" s="31">
        <f>Historical_Trends!C5</f>
        <v>247379</v>
      </c>
      <c r="D14" s="31">
        <f>Historical_Trends!C12</f>
        <v>11508</v>
      </c>
      <c r="E14" s="22">
        <f>Historical_Trends!C15</f>
        <v>5.2999999999999999E-2</v>
      </c>
      <c r="F14" s="22">
        <f>Historical_Trends!C16</f>
        <v>0.23499999999999999</v>
      </c>
    </row>
    <row r="15" spans="2:6" x14ac:dyDescent="0.3">
      <c r="B15" s="11" t="s">
        <v>91</v>
      </c>
      <c r="C15" s="31">
        <f>Historical_Trends!D5</f>
        <v>330615</v>
      </c>
      <c r="D15" s="31">
        <f>Historical_Trends!D12</f>
        <v>14451</v>
      </c>
      <c r="E15" s="22">
        <f>Historical_Trends!D15</f>
        <v>5.0999999999999997E-2</v>
      </c>
      <c r="F15" s="22">
        <f>Historical_Trends!D16</f>
        <v>0.221</v>
      </c>
    </row>
    <row r="16" spans="2:6" x14ac:dyDescent="0.3">
      <c r="B16" s="11" t="s">
        <v>92</v>
      </c>
      <c r="C16" s="31">
        <f>Historical_Trends!E5</f>
        <v>416661</v>
      </c>
      <c r="D16" s="31">
        <f>Historical_Trends!E12</f>
        <v>16779</v>
      </c>
      <c r="E16" s="22">
        <f>Historical_Trends!E15</f>
        <v>4.5999999999999999E-2</v>
      </c>
      <c r="F16" s="22">
        <f>Historical_Trends!E16</f>
        <v>0.192</v>
      </c>
    </row>
    <row r="17" spans="2:6" x14ac:dyDescent="0.3">
      <c r="B17" s="11" t="s">
        <v>93</v>
      </c>
      <c r="C17" s="31">
        <f>Historical_Trends!F5</f>
        <v>509975</v>
      </c>
      <c r="D17" s="31">
        <f>Historical_Trends!F12</f>
        <v>19332</v>
      </c>
      <c r="E17" s="22">
        <f>Historical_Trends!F15</f>
        <v>4.5999999999999999E-2</v>
      </c>
      <c r="F17" s="22">
        <f>Historical_Trends!F16</f>
        <v>0.19700000000000001</v>
      </c>
    </row>
    <row r="18" spans="2:6" x14ac:dyDescent="0.3">
      <c r="B18" s="12"/>
      <c r="C18" s="12"/>
      <c r="D18" s="12"/>
      <c r="E18" s="26"/>
      <c r="F18" s="26"/>
    </row>
    <row r="19" spans="2:6" x14ac:dyDescent="0.3">
      <c r="B19" s="10" t="s">
        <v>194</v>
      </c>
    </row>
    <row r="20" spans="2:6" x14ac:dyDescent="0.3">
      <c r="B20" s="53" t="s">
        <v>193</v>
      </c>
      <c r="C20" s="53" t="s">
        <v>117</v>
      </c>
      <c r="D20" s="53" t="s">
        <v>121</v>
      </c>
    </row>
    <row r="21" spans="2:6" x14ac:dyDescent="0.3">
      <c r="B21" s="11" t="s">
        <v>112</v>
      </c>
      <c r="C21" s="31">
        <f>Forecast_Model!G5</f>
        <v>606870.25</v>
      </c>
      <c r="D21" s="31">
        <f>Forecast_Model!G14</f>
        <v>19186.233297262501</v>
      </c>
    </row>
    <row r="22" spans="2:6" x14ac:dyDescent="0.3">
      <c r="B22" s="11" t="s">
        <v>113</v>
      </c>
      <c r="C22" s="31">
        <f>Forecast_Model!H5</f>
        <v>716106.89500000002</v>
      </c>
      <c r="D22" s="31">
        <f>Forecast_Model!H14</f>
        <v>22451.293858678117</v>
      </c>
    </row>
    <row r="23" spans="2:6" x14ac:dyDescent="0.3">
      <c r="B23" s="11" t="s">
        <v>114</v>
      </c>
      <c r="C23" s="31">
        <f>Forecast_Model!I5</f>
        <v>837845.06715000002</v>
      </c>
      <c r="D23" s="31">
        <f>Forecast_Model!I14</f>
        <v>26155.061826538247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Q4_FY26_Deep_Dive</vt:lpstr>
      <vt:lpstr>Segment_Analysis</vt:lpstr>
      <vt:lpstr>Historical_Trends</vt:lpstr>
      <vt:lpstr>Variance_Analysis</vt:lpstr>
      <vt:lpstr>Forecast_Model</vt:lpstr>
      <vt:lpstr>Scenario_Engine</vt:lpstr>
      <vt:lpstr>Management_Insights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</dc:creator>
  <cp:lastModifiedBy>Prathamesh Rathod</cp:lastModifiedBy>
  <dcterms:created xsi:type="dcterms:W3CDTF">2015-06-05T18:17:20Z</dcterms:created>
  <dcterms:modified xsi:type="dcterms:W3CDTF">2026-06-03T09:44:27Z</dcterms:modified>
</cp:coreProperties>
</file>